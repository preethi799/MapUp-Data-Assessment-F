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_rels/workbook.xml.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6"/>
  </bookViews>
  <sheets>
    <sheet name="Instructions" sheetId="1" state="visible" r:id="rId3"/>
    <sheet name="Dataset" sheetId="2" state="visible" r:id="rId4"/>
    <sheet name="Task_1" sheetId="3" state="visible" r:id="rId5"/>
    <sheet name="Task_2" sheetId="4" state="visible" r:id="rId6"/>
    <sheet name="Task_3" sheetId="5" state="visible" r:id="rId7"/>
    <sheet name="Task_4" sheetId="6" state="visible" r:id="rId8"/>
    <sheet name="Task_5" sheetId="7" state="visible" r:id="rId9"/>
  </sheets>
  <definedNames>
    <definedName function="false" hidden="false" name="LOCAL_DATE_SEPARATOR" vbProcedure="false">INDEX(get.workspace(37),17)</definedName>
    <definedName function="false" hidden="false" name="LOCAL_DAY_FORMAT" vbProcedure="false">INDEX(get.workspace(37),21)</definedName>
    <definedName function="false" hidden="false" name="LOCAL_HOUR_FORMAT" vbProcedure="false">INDEX(get.workspace(37),22)</definedName>
    <definedName function="false" hidden="false" name="LOCAL_MINUTE_FORMAT" vbProcedure="false">INDEX(get.workspace(37),23)</definedName>
    <definedName function="false" hidden="false" name="LOCAL_MONTH_FORMAT" vbProcedure="false">INDEX(get.workspace(37),20)</definedName>
    <definedName function="false" hidden="false" name="LOCAL_MYSQL_DATE_FORMAT" vbProcedure="false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function="false" hidden="false" name="LOCAL_YEAR_FORMAT" vbProcedure="false">INDEX(get.workspace(37),19)</definedName>
    <definedName function="false" hidden="false" name="LOCAL_TIME_SEPARATOR" vbProcedure="false">INDEX(get.workspace(37),18)</definedName>
    <definedName function="false" hidden="false" name="LOCAL_SECOND_FORMAT" vbProcedure="false">INDEX(get.workspace(37),24)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<sst xmlns="http://schemas.openxmlformats.org/spreadsheetml/2006/main" count="415" uniqueCount="190">
  <si>
    <t xml:space="preserve">Instructions</t>
  </si>
  <si>
    <t xml:space="preserve">1. There are 5 tasks in total for the Excel assessment.</t>
  </si>
  <si>
    <t xml:space="preserve">2. Each task holds different weightage.</t>
  </si>
  <si>
    <t xml:space="preserve">3. For Task_1 and Task_2, please refer to the "Datasheet" tab.</t>
  </si>
  <si>
    <t xml:space="preserve">4. Please provide explanation to your solution wherever you're prompted to do so.</t>
  </si>
  <si>
    <t xml:space="preserve">Allocation of marks by task</t>
  </si>
  <si>
    <t xml:space="preserve">Task</t>
  </si>
  <si>
    <t xml:space="preserve">Marks</t>
  </si>
  <si>
    <t xml:space="preserve">Task_1</t>
  </si>
  <si>
    <t xml:space="preserve">Task_2</t>
  </si>
  <si>
    <t xml:space="preserve">Task_3</t>
  </si>
  <si>
    <t xml:space="preserve">Task_4</t>
  </si>
  <si>
    <t xml:space="preserve">Task_5</t>
  </si>
  <si>
    <t xml:space="preserve">Total</t>
  </si>
  <si>
    <t xml:space="preserve">name</t>
  </si>
  <si>
    <t xml:space="preserve">ID</t>
  </si>
  <si>
    <t xml:space="preserve">start_day</t>
  </si>
  <si>
    <t xml:space="preserve">start_time</t>
  </si>
  <si>
    <t xml:space="preserve">end_day</t>
  </si>
  <si>
    <t xml:space="preserve">end_time</t>
  </si>
  <si>
    <t xml:space="preserve">car1</t>
  </si>
  <si>
    <t xml:space="preserve">car2</t>
  </si>
  <si>
    <t xml:space="preserve">car3</t>
  </si>
  <si>
    <t xml:space="preserve">moto1</t>
  </si>
  <si>
    <t xml:space="preserve">moto2</t>
  </si>
  <si>
    <t xml:space="preserve">moto3</t>
  </si>
  <si>
    <t xml:space="preserve">bus1</t>
  </si>
  <si>
    <t xml:space="preserve">bus2</t>
  </si>
  <si>
    <t xml:space="preserve">bus3</t>
  </si>
  <si>
    <t xml:space="preserve">rv1</t>
  </si>
  <si>
    <t xml:space="preserve">rv2</t>
  </si>
  <si>
    <t xml:space="preserve">rv3</t>
  </si>
  <si>
    <t xml:space="preserve">truck1</t>
  </si>
  <si>
    <t xml:space="preserve">truck2</t>
  </si>
  <si>
    <t xml:space="preserve">taxi1</t>
  </si>
  <si>
    <t xml:space="preserve">taxi2</t>
  </si>
  <si>
    <t xml:space="preserve">taxi3</t>
  </si>
  <si>
    <t xml:space="preserve">date</t>
  </si>
  <si>
    <t xml:space="preserve">Warrendale</t>
  </si>
  <si>
    <t xml:space="preserve">Monday</t>
  </si>
  <si>
    <t xml:space="preserve">Sunday</t>
  </si>
  <si>
    <t xml:space="preserve">Butler Valley</t>
  </si>
  <si>
    <t xml:space="preserve">Allegheny Valley</t>
  </si>
  <si>
    <t xml:space="preserve">Pittsburgh</t>
  </si>
  <si>
    <t xml:space="preserve">Irwin</t>
  </si>
  <si>
    <t xml:space="preserve">New Stanton</t>
  </si>
  <si>
    <t xml:space="preserve">Donegal</t>
  </si>
  <si>
    <t xml:space="preserve">Somerset</t>
  </si>
  <si>
    <t xml:space="preserve">Bedford</t>
  </si>
  <si>
    <t xml:space="preserve">Breezewood</t>
  </si>
  <si>
    <t xml:space="preserve">Fort Littleton</t>
  </si>
  <si>
    <t xml:space="preserve">Willow Hill</t>
  </si>
  <si>
    <t xml:space="preserve">Blue Mountain</t>
  </si>
  <si>
    <t xml:space="preserve">Carlisle</t>
  </si>
  <si>
    <t xml:space="preserve">Gettysburg Pike</t>
  </si>
  <si>
    <t xml:space="preserve">Harrisburg West</t>
  </si>
  <si>
    <t xml:space="preserve">Harrisburg East</t>
  </si>
  <si>
    <t xml:space="preserve">Lebanon-Lancaster</t>
  </si>
  <si>
    <t xml:space="preserve">Reading</t>
  </si>
  <si>
    <t xml:space="preserve">Morgantown</t>
  </si>
  <si>
    <t xml:space="preserve">Downingtown</t>
  </si>
  <si>
    <t xml:space="preserve">S.R. 29</t>
  </si>
  <si>
    <t xml:space="preserve">Valley Forge</t>
  </si>
  <si>
    <t xml:space="preserve">Norristown</t>
  </si>
  <si>
    <t xml:space="preserve">Fort Washington</t>
  </si>
  <si>
    <t xml:space="preserve">Virginia Drive </t>
  </si>
  <si>
    <t xml:space="preserve">Willow Grove</t>
  </si>
  <si>
    <t xml:space="preserve">Bensalem</t>
  </si>
  <si>
    <t xml:space="preserve">St. Rd </t>
  </si>
  <si>
    <t xml:space="preserve">Neshaminy Falls</t>
  </si>
  <si>
    <t xml:space="preserve">Mid-County</t>
  </si>
  <si>
    <t xml:space="preserve">Lansdale</t>
  </si>
  <si>
    <t xml:space="preserve">Quakertown</t>
  </si>
  <si>
    <t xml:space="preserve">Lehigh Valley</t>
  </si>
  <si>
    <t xml:space="preserve">Mahoning Valley</t>
  </si>
  <si>
    <t xml:space="preserve">S.R. 903</t>
  </si>
  <si>
    <t xml:space="preserve">Pocono</t>
  </si>
  <si>
    <t xml:space="preserve">Wilkes-Barre</t>
  </si>
  <si>
    <t xml:space="preserve">Wyoming Valley</t>
  </si>
  <si>
    <t xml:space="preserve">Task_ID</t>
  </si>
  <si>
    <t xml:space="preserve">Task_Description</t>
  </si>
  <si>
    <t xml:space="preserve">Description</t>
  </si>
  <si>
    <t xml:space="preserve">Mark assigned</t>
  </si>
  <si>
    <t xml:space="preserve">Please carry out the following tasks within the "Dataset" tab.</t>
  </si>
  <si>
    <t xml:space="preserve">Highlight all '-1' values in red colour and all '0' values in green.</t>
  </si>
  <si>
    <t xml:space="preserve">Red, Green</t>
  </si>
  <si>
    <t xml:space="preserve">Done</t>
  </si>
  <si>
    <t xml:space="preserve">Freeze the top row</t>
  </si>
  <si>
    <t xml:space="preserve">Give the sum of all values greater than '20' in column H labelled 'car2'</t>
  </si>
  <si>
    <t xml:space="preserve">Formula is =SUMIF(H2:H40, "&gt;20")</t>
  </si>
  <si>
    <t xml:space="preserve">Format the dates given in column X labelled 'dates' in format: 'YYYY-MM-DD'</t>
  </si>
  <si>
    <t xml:space="preserve">1. Using relevant Excel formulas, fill up the corresponding empty cells in Table_A with values from the "Dataset" worksheet.</t>
  </si>
  <si>
    <t xml:space="preserve">2. Calculate minimum, maximum and average values for each column at the bottom.</t>
  </si>
  <si>
    <t xml:space="preserve">Table_A</t>
  </si>
  <si>
    <t xml:space="preserve">Minimum</t>
  </si>
  <si>
    <t xml:space="preserve">Maximum</t>
  </si>
  <si>
    <t xml:space="preserve">Average</t>
  </si>
  <si>
    <t xml:space="preserve">Using either Excel formulas or built</t>
  </si>
  <si>
    <t xml:space="preserve">in functionality, split the values given in Table_A into distinct cells as given in Example_table.</t>
  </si>
  <si>
    <t xml:space="preserve">(In the cell below, please write the formula or name of the functionality that you've used to get the required output. Also, explain the process briefly)</t>
  </si>
  <si>
    <t xml:space="preserve">Formula/Functionality used:</t>
  </si>
  <si>
    <t xml:space="preserve">Using Text to Columns</t>
  </si>
  <si>
    <t xml:space="preserve">Explanation:</t>
  </si>
  <si>
    <r>
      <rPr>
        <sz val="14"/>
        <color rgb="FF000000"/>
        <rFont val="Calibri"/>
        <family val="2"/>
        <charset val="1"/>
      </rPr>
      <t xml:space="preserve">Select the cells, click on</t>
    </r>
    <r>
      <rPr>
        <b val="true"/>
        <sz val="14"/>
        <color rgb="FF000000"/>
        <rFont val="Calibri"/>
        <family val="2"/>
        <charset val="1"/>
      </rPr>
      <t xml:space="preserve"> Data</t>
    </r>
    <r>
      <rPr>
        <sz val="14"/>
        <color rgb="FF000000"/>
        <rFont val="Calibri"/>
        <family val="2"/>
        <charset val="1"/>
      </rPr>
      <t xml:space="preserve"> tab in Excel ribbon, select </t>
    </r>
    <r>
      <rPr>
        <b val="true"/>
        <sz val="14"/>
        <color rgb="FF000000"/>
        <rFont val="Calibri"/>
        <family val="2"/>
        <charset val="1"/>
      </rPr>
      <t xml:space="preserve">Text to Columns</t>
    </r>
    <r>
      <rPr>
        <sz val="14"/>
        <color rgb="FF000000"/>
        <rFont val="Calibri"/>
        <family val="2"/>
        <charset val="1"/>
      </rPr>
      <t xml:space="preserve">, Click separated by delimiter (‘-’) and click ok</t>
    </r>
  </si>
  <si>
    <t xml:space="preserve">Example_table</t>
  </si>
  <si>
    <t xml:space="preserve">value</t>
  </si>
  <si>
    <t xml:space="preserve">col_1</t>
  </si>
  <si>
    <t xml:space="preserve">col_3</t>
  </si>
  <si>
    <t xml:space="preserve">col_4</t>
  </si>
  <si>
    <t xml:space="preserve">col_5</t>
  </si>
  <si>
    <t xml:space="preserve">col_6</t>
  </si>
  <si>
    <t xml:space="preserve">20000-Monday-0-Sunday-24</t>
  </si>
  <si>
    <t xml:space="preserve">values</t>
  </si>
  <si>
    <t xml:space="preserve">20002-Monday-0-Sunday-24</t>
  </si>
  <si>
    <t xml:space="preserve">20004-Monday-0-Sunday-24</t>
  </si>
  <si>
    <t xml:space="preserve">20006-Monday-0-Sunday-24</t>
  </si>
  <si>
    <t xml:space="preserve">20008-Monday-0-Sunday-24</t>
  </si>
  <si>
    <t xml:space="preserve">20010-Monday-0-Sunday-24</t>
  </si>
  <si>
    <t xml:space="preserve">20012-Monday-0-Sunday-24</t>
  </si>
  <si>
    <t xml:space="preserve">20014-Monday-0-Sunday-24</t>
  </si>
  <si>
    <t xml:space="preserve">20016-Monday-0-Sunday-24</t>
  </si>
  <si>
    <t xml:space="preserve">20018-Monday-0-Sunday-24</t>
  </si>
  <si>
    <t xml:space="preserve">20020-Monday-0-Sunday-24</t>
  </si>
  <si>
    <t xml:space="preserve">20022-Monday-0-Sunday-24</t>
  </si>
  <si>
    <t xml:space="preserve">20024-Monday-0-Sunday-24</t>
  </si>
  <si>
    <t xml:space="preserve">20026-Monday-0-Sunday-24</t>
  </si>
  <si>
    <t xml:space="preserve">20028-Monday-0-Sunday-24</t>
  </si>
  <si>
    <t xml:space="preserve">20030-Monday-0-Sunday-24</t>
  </si>
  <si>
    <t xml:space="preserve">20032-Monday-0-Sunday-24</t>
  </si>
  <si>
    <t xml:space="preserve">20034-Monday-0-Sunday-24</t>
  </si>
  <si>
    <t xml:space="preserve">20036-Monday-0-Sunday-24</t>
  </si>
  <si>
    <t xml:space="preserve">20038-Monday-0-Sunday-24</t>
  </si>
  <si>
    <t xml:space="preserve">20040-Monday-0-Sunday-24</t>
  </si>
  <si>
    <t xml:space="preserve">20042-Monday-0-Sunday-24</t>
  </si>
  <si>
    <t xml:space="preserve">20044-Monday-0-Sunday-24</t>
  </si>
  <si>
    <t xml:space="preserve">20046-Monday-0-Sunday-24</t>
  </si>
  <si>
    <t xml:space="preserve">20048-Monday-0-Sunday-24</t>
  </si>
  <si>
    <t xml:space="preserve">20050-Monday-0-Sunday-24</t>
  </si>
  <si>
    <t xml:space="preserve">20052-Monday-0-Sunday-24</t>
  </si>
  <si>
    <t xml:space="preserve">20054-Monday-0-Sunday-24</t>
  </si>
  <si>
    <t xml:space="preserve">20058-Monday-0-Sunday-24</t>
  </si>
  <si>
    <t xml:space="preserve">20060-Monday-0-Sunday-24</t>
  </si>
  <si>
    <t xml:space="preserve">21000-Monday-0-Sunday-24</t>
  </si>
  <si>
    <t xml:space="preserve">21002-Monday-0-Sunday-24</t>
  </si>
  <si>
    <t xml:space="preserve">21004-Monday-0-Sunday-24</t>
  </si>
  <si>
    <t xml:space="preserve">21006-Monday-0-Sunday-24</t>
  </si>
  <si>
    <t xml:space="preserve">21008-Monday-0-Sunday-24</t>
  </si>
  <si>
    <t xml:space="preserve">21010-Monday-0-Sunday-24</t>
  </si>
  <si>
    <t xml:space="preserve">21012-Monday-0-Sunday-24</t>
  </si>
  <si>
    <t xml:space="preserve">21014-Monday-0-Sunday-24</t>
  </si>
  <si>
    <t xml:space="preserve">21016-Monday-0-Sunday-24</t>
  </si>
  <si>
    <t xml:space="preserve">Using appropriate formula, calculate the sum of sales in Table_A using the following condition:</t>
  </si>
  <si>
    <t xml:space="preserve">All #N/A values must be substituted with the value '20'</t>
  </si>
  <si>
    <t xml:space="preserve">(In the cell below, please write the formula or name of the functionality that you've used to get the required output. Also, explain the process briefly) </t>
  </si>
  <si>
    <r>
      <rPr>
        <sz val="11"/>
        <color rgb="FF000000"/>
        <rFont val="Calibri"/>
        <family val="2"/>
        <charset val="1"/>
      </rPr>
      <t xml:space="preserve">The formula used to replace #NA with 0: </t>
    </r>
    <r>
      <rPr>
        <b val="true"/>
        <sz val="10"/>
        <color rgb="FF000000"/>
        <rFont val="Calibri"/>
        <family val="2"/>
      </rPr>
      <t xml:space="preserve">=IFERROR(VLOOKUP(</t>
    </r>
    <r>
      <rPr>
        <b val="true"/>
        <sz val="10"/>
        <color rgb="FF0000FF"/>
        <rFont val="Calibri"/>
        <family val="2"/>
      </rPr>
      <t xml:space="preserve">B12</t>
    </r>
    <r>
      <rPr>
        <b val="true"/>
        <sz val="10"/>
        <color rgb="FF000000"/>
        <rFont val="Calibri"/>
        <family val="2"/>
      </rPr>
      <t xml:space="preserve">, </t>
    </r>
    <r>
      <rPr>
        <b val="true"/>
        <sz val="10"/>
        <color rgb="FFFF0000"/>
        <rFont val="Calibri"/>
        <family val="2"/>
      </rPr>
      <t xml:space="preserve">B11:C22</t>
    </r>
    <r>
      <rPr>
        <b val="true"/>
        <sz val="10"/>
        <color rgb="FF000000"/>
        <rFont val="Calibri"/>
        <family val="2"/>
      </rPr>
      <t xml:space="preserve">, 2, 0), 20)</t>
    </r>
  </si>
  <si>
    <t xml:space="preserve">If VLOOKUP finds a match, it returns the corresponding value from the second column and If there's an error (e.g., no match found), IFERROR returns number 20 instead of displaying an error</t>
  </si>
  <si>
    <t xml:space="preserve">Date</t>
  </si>
  <si>
    <t xml:space="preserve">Product</t>
  </si>
  <si>
    <t xml:space="preserve">Sales</t>
  </si>
  <si>
    <t xml:space="preserve">Sales_New</t>
  </si>
  <si>
    <t xml:space="preserve">Laptop</t>
  </si>
  <si>
    <t xml:space="preserve">Smartphone</t>
  </si>
  <si>
    <t xml:space="preserve">Headphones</t>
  </si>
  <si>
    <t xml:space="preserve">Blender</t>
  </si>
  <si>
    <t xml:space="preserve">Sunglasses</t>
  </si>
  <si>
    <t xml:space="preserve">Tablet</t>
  </si>
  <si>
    <t xml:space="preserve">Camera</t>
  </si>
  <si>
    <t xml:space="preserve">Printer</t>
  </si>
  <si>
    <t xml:space="preserve">Keyboard</t>
  </si>
  <si>
    <t xml:space="preserve">Mouse</t>
  </si>
  <si>
    <t xml:space="preserve">Sum</t>
  </si>
  <si>
    <t xml:space="preserve">Fill the values in column "value" of Table_C using the tables A and B.</t>
  </si>
  <si>
    <t xml:space="preserve">Used Index and Match</t>
  </si>
  <si>
    <t xml:space="preserve">First used Index and Match on Table B and Table C (Name_1 and Name_2), then subsequently used index and Match on Table A and Table C</t>
  </si>
  <si>
    <t xml:space="preserve">Table_B</t>
  </si>
  <si>
    <t xml:space="preserve">A</t>
  </si>
  <si>
    <t xml:space="preserve">B</t>
  </si>
  <si>
    <t xml:space="preserve">C</t>
  </si>
  <si>
    <t xml:space="preserve">D</t>
  </si>
  <si>
    <t xml:space="preserve">E</t>
  </si>
  <si>
    <t xml:space="preserve">F</t>
  </si>
  <si>
    <t xml:space="preserve">G</t>
  </si>
  <si>
    <t xml:space="preserve">H</t>
  </si>
  <si>
    <t xml:space="preserve">I</t>
  </si>
  <si>
    <t xml:space="preserve">Name</t>
  </si>
  <si>
    <t xml:space="preserve">Table_C</t>
  </si>
  <si>
    <t xml:space="preserve">name_1</t>
  </si>
  <si>
    <t xml:space="preserve">name_2</t>
  </si>
  <si>
    <t xml:space="preserve">Name_1</t>
  </si>
  <si>
    <t xml:space="preserve">Name 2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</si>
</sst>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hh:mm:ss;@"/>
    <numFmt numFmtId="166" formatCode="yyyy\-mm\-dd"/>
    <numFmt numFmtId="167" formatCode="General"/>
    <numFmt numFmtId="168" formatCode="yyyy\-mm\-dd;@"/>
  </numFmts>
  <fonts count="22">
    <font>
      <sz val="10"/>
      <color rgb="FF000000"/>
      <name val="Times New Roman"/>
      <family val="0"/>
      <charset val="204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rgb="FF000000"/>
      <name val="Calibri"/>
      <family val="2"/>
      <charset val="1"/>
    </font>
    <font>
      <sz val="10"/>
      <color rgb="FF000000"/>
      <name val="Times New Roman"/>
      <family val="1"/>
      <charset val="1"/>
    </font>
    <font>
      <sz val="10"/>
      <name val="Times New Roman"/>
      <family val="1"/>
      <charset val="204"/>
    </font>
    <font>
      <sz val="10"/>
      <color rgb="FF000000"/>
      <name val="Calibri"/>
      <family val="2"/>
      <charset val="1"/>
    </font>
    <font>
      <b val="true"/>
      <sz val="14"/>
      <color rgb="FF000000"/>
      <name val="Calibri"/>
      <family val="2"/>
      <charset val="1"/>
    </font>
    <font>
      <b val="true"/>
      <sz val="10"/>
      <color rgb="FF000000"/>
      <name val="Calibri"/>
      <family val="2"/>
      <charset val="1"/>
    </font>
    <font>
      <b val="true"/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b val="true"/>
      <sz val="11"/>
      <color rgb="FFFFFFFF"/>
      <name val="Calibri"/>
      <family val="2"/>
      <charset val="1"/>
    </font>
    <font>
      <b val="true"/>
      <sz val="11"/>
      <color rgb="FFFF0000"/>
      <name val="Calibri"/>
      <family val="2"/>
      <charset val="1"/>
    </font>
    <font>
      <b val="true"/>
      <sz val="16"/>
      <color rgb="FFFFFFFF"/>
      <name val="Calibri"/>
      <family val="2"/>
      <charset val="1"/>
    </font>
    <font>
      <sz val="16"/>
      <color rgb="FF000000"/>
      <name val="Calibri"/>
      <family val="2"/>
      <charset val="1"/>
    </font>
    <font>
      <b val="true"/>
      <sz val="18"/>
      <color rgb="FFC55A11"/>
      <name val="Calibri"/>
      <family val="2"/>
      <charset val="1"/>
    </font>
    <font>
      <sz val="14"/>
      <color rgb="FF000000"/>
      <name val="Calibri"/>
      <family val="2"/>
      <charset val="1"/>
    </font>
    <font>
      <b val="true"/>
      <sz val="10"/>
      <color rgb="FF000000"/>
      <name val="Calibri"/>
      <family val="2"/>
    </font>
    <font>
      <b val="true"/>
      <sz val="10"/>
      <color rgb="FF0000FF"/>
      <name val="Calibri"/>
      <family val="2"/>
    </font>
    <font>
      <b val="true"/>
      <sz val="10"/>
      <color rgb="FFFF0000"/>
      <name val="Calibri"/>
      <family val="2"/>
    </font>
    <font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CDDC"/>
        <bgColor rgb="FFA9D18E"/>
      </patternFill>
    </fill>
    <fill>
      <patternFill patternType="solid">
        <fgColor rgb="FFB1A0C7"/>
        <bgColor rgb="FF9999FF"/>
      </patternFill>
    </fill>
    <fill>
      <patternFill patternType="solid">
        <fgColor rgb="FFFFFF00"/>
        <bgColor rgb="FFFFFF00"/>
      </patternFill>
    </fill>
    <fill>
      <patternFill patternType="solid">
        <fgColor rgb="FF2F5597"/>
        <bgColor rgb="FF666699"/>
      </patternFill>
    </fill>
    <fill>
      <patternFill patternType="solid">
        <fgColor rgb="FFE2F0D9"/>
        <bgColor rgb="FFCCFFCC"/>
      </patternFill>
    </fill>
  </fills>
  <borders count="1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 style="thin"/>
      <right/>
      <top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/>
      <right/>
      <top/>
      <bottom style="thin"/>
      <diagonal/>
    </border>
  </borders>
  <cellStyleXfs count="3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top" textRotation="0" wrapText="true" indent="0" shrinkToFit="false"/>
      <protection locked="true" hidden="false"/>
    </xf>
  </cellStyleXfs>
  <cellXfs count="5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11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2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4" fillId="5" borderId="0" xfId="2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0" xfId="2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3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2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6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7" fontId="7" fillId="4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4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18" fillId="4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1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" xfId="20"/>
    <cellStyle name="Normal 2 2" xfId="21"/>
    <cellStyle name="Normal 2 3" xfId="22"/>
    <cellStyle name="Normal 3" xfId="23"/>
    <cellStyle name="Normal 3 2" xfId="24"/>
    <cellStyle name="Normal 4" xfId="25"/>
    <cellStyle name="Normal 5" xfId="26"/>
    <cellStyle name="Normal 5 2" xfId="27"/>
    <cellStyle name="Normal 5 3" xfId="28"/>
    <cellStyle name="Normal 7" xfId="29"/>
  </cellStyles>
  <dxfs count="12">
    <dxf>
      <fill>
        <patternFill patternType="solid">
          <fgColor rgb="00FFFFFF"/>
        </patternFill>
      </fill>
    </dxf>
    <dxf>
      <fill>
        <patternFill patternType="solid">
          <fgColor rgb="FF000000"/>
          <bgColor rgb="FFFFFFFF"/>
        </patternFill>
      </fill>
    </dxf>
    <dxf>
      <fill>
        <patternFill patternType="solid">
          <fgColor rgb="FF92CDDC"/>
        </patternFill>
      </fill>
    </dxf>
    <dxf>
      <fill>
        <patternFill patternType="solid">
          <fgColor rgb="FFCCFFCC"/>
        </patternFill>
      </fill>
    </dxf>
    <dxf>
      <fill>
        <patternFill patternType="solid">
          <fgColor rgb="FFFFCCCC"/>
        </patternFill>
      </fill>
    </dxf>
    <dxf>
      <fill>
        <patternFill patternType="solid">
          <fgColor rgb="FF006600"/>
        </patternFill>
      </fill>
    </dxf>
    <dxf>
      <fill>
        <patternFill patternType="solid">
          <fgColor rgb="FFCC0000"/>
        </patternFill>
      </fill>
    </dxf>
    <dxf>
      <fill>
        <patternFill patternType="solid">
          <fgColor rgb="FFB1A0C7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name val="Times New Roman"/>
        <charset val="204"/>
        <family val="0"/>
        <color rgb="FF006600"/>
      </font>
      <fill>
        <patternFill>
          <bgColor rgb="FFCCFFCC"/>
        </patternFill>
      </fill>
    </dxf>
    <dxf>
      <font>
        <name val="Times New Roman"/>
        <charset val="204"/>
        <family val="0"/>
        <color rgb="FFCC0000"/>
      </font>
      <fill>
        <patternFill>
          <bgColor rgb="FFFFCCCC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6600"/>
      <rgbColor rgb="FF000080"/>
      <rgbColor rgb="FF808000"/>
      <rgbColor rgb="FF800080"/>
      <rgbColor rgb="FF008080"/>
      <rgbColor rgb="FFA9D18E"/>
      <rgbColor rgb="FF808080"/>
      <rgbColor rgb="FF9999FF"/>
      <rgbColor rgb="FF993366"/>
      <rgbColor rgb="FFE2F0D9"/>
      <rgbColor rgb="FFCCFFFF"/>
      <rgbColor rgb="FF660066"/>
      <rgbColor rgb="FFFF8080"/>
      <rgbColor rgb="FF0066CC"/>
      <rgbColor rgb="FFFFC7CE"/>
      <rgbColor rgb="FF000080"/>
      <rgbColor rgb="FFFF00FF"/>
      <rgbColor rgb="FFFFFF00"/>
      <rgbColor rgb="FF00FFFF"/>
      <rgbColor rgb="FF800080"/>
      <rgbColor rgb="FFCC0000"/>
      <rgbColor rgb="FF008080"/>
      <rgbColor rgb="FF0000FF"/>
      <rgbColor rgb="FF00CCFF"/>
      <rgbColor rgb="FFCCFFFF"/>
      <rgbColor rgb="FFCCFFCC"/>
      <rgbColor rgb="FFFFFF99"/>
      <rgbColor rgb="FF92CDDC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C55A11"/>
      <rgbColor rgb="FF666699"/>
      <rgbColor rgb="FFB1A0C7"/>
      <rgbColor rgb="FF003366"/>
      <rgbColor rgb="FF339966"/>
      <rgbColor rgb="FF003300"/>
      <rgbColor rgb="FF333300"/>
      <rgbColor rgb="FF993300"/>
      <rgbColor rgb="FF993366"/>
      <rgbColor rgb="FF2F5597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A9D18E"/>
    <pageSetUpPr fitToPage="false"/>
  </sheetPr>
  <dimension ref="A1:C15"/>
  <sheetViews>
    <sheetView showFormulas="false" showGridLines="true" showRowColHeaders="true" showZeros="true" rightToLeft="false" tabSelected="false" showOutlineSymbols="true" defaultGridColor="true" view="normal" topLeftCell="A1" colorId="64" zoomScale="55" zoomScaleNormal="55" zoomScalePageLayoutView="100" workbookViewId="0">
      <selection pane="topLeft" activeCell="A1" activeCellId="0" sqref="A1"/>
    </sheetView>
  </sheetViews>
  <sheetFormatPr defaultColWidth="10.984375" defaultRowHeight="13.5" zeroHeight="false" outlineLevelRow="0" outlineLevelCol="0"/>
  <cols>
    <col collapsed="false" customWidth="true" hidden="false" outlineLevel="0" max="1" min="1" style="1" width="70.8"/>
    <col collapsed="false" customWidth="false" hidden="false" outlineLevel="0" max="1024" min="2" style="1" width="11.01"/>
  </cols>
  <sheetData>
    <row r="1" customFormat="false" ht="18.75" hidden="false" customHeight="false" outlineLevel="0" collapsed="false">
      <c r="A1" s="2" t="s">
        <v>0</v>
      </c>
    </row>
    <row r="2" customFormat="false" ht="13.5" hidden="false" customHeight="false" outlineLevel="0" collapsed="false">
      <c r="A2" s="1" t="s">
        <v>1</v>
      </c>
    </row>
    <row r="3" customFormat="false" ht="13.5" hidden="false" customHeight="false" outlineLevel="0" collapsed="false">
      <c r="A3" s="1" t="s">
        <v>2</v>
      </c>
    </row>
    <row r="4" customFormat="false" ht="15" hidden="false" customHeight="false" outlineLevel="0" collapsed="false">
      <c r="A4" s="1" t="s">
        <v>3</v>
      </c>
      <c r="C4" s="3"/>
    </row>
    <row r="5" customFormat="false" ht="13.5" hidden="false" customHeight="false" outlineLevel="0" collapsed="false">
      <c r="A5" s="1" t="s">
        <v>4</v>
      </c>
    </row>
    <row r="8" customFormat="false" ht="13.5" hidden="false" customHeight="false" outlineLevel="0" collapsed="false">
      <c r="A8" s="1" t="s">
        <v>5</v>
      </c>
    </row>
    <row r="9" customFormat="false" ht="13.5" hidden="false" customHeight="false" outlineLevel="0" collapsed="false">
      <c r="A9" s="4" t="s">
        <v>6</v>
      </c>
      <c r="B9" s="5" t="s">
        <v>7</v>
      </c>
    </row>
    <row r="10" customFormat="false" ht="13.5" hidden="false" customHeight="false" outlineLevel="0" collapsed="false">
      <c r="A10" s="6" t="s">
        <v>8</v>
      </c>
      <c r="B10" s="7" t="n">
        <v>25</v>
      </c>
    </row>
    <row r="11" customFormat="false" ht="13.5" hidden="false" customHeight="false" outlineLevel="0" collapsed="false">
      <c r="A11" s="6" t="s">
        <v>9</v>
      </c>
      <c r="B11" s="7" t="n">
        <v>30</v>
      </c>
    </row>
    <row r="12" customFormat="false" ht="13.5" hidden="false" customHeight="false" outlineLevel="0" collapsed="false">
      <c r="A12" s="6" t="s">
        <v>10</v>
      </c>
      <c r="B12" s="7" t="n">
        <v>10</v>
      </c>
    </row>
    <row r="13" customFormat="false" ht="13.5" hidden="false" customHeight="false" outlineLevel="0" collapsed="false">
      <c r="A13" s="6" t="s">
        <v>11</v>
      </c>
      <c r="B13" s="7" t="n">
        <v>20</v>
      </c>
    </row>
    <row r="14" customFormat="false" ht="13.5" hidden="false" customHeight="false" outlineLevel="0" collapsed="false">
      <c r="A14" s="6" t="s">
        <v>12</v>
      </c>
      <c r="B14" s="7" t="n">
        <v>40</v>
      </c>
    </row>
    <row r="15" customFormat="false" ht="13.5" hidden="false" customHeight="false" outlineLevel="0" collapsed="false">
      <c r="A15" s="8" t="s">
        <v>13</v>
      </c>
      <c r="B15" s="9" t="n">
        <v>125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X41"/>
  <sheetViews>
    <sheetView showFormulas="false" showGridLines="true" showRowColHeaders="true" showZeros="true" rightToLeft="false" tabSelected="false" showOutlineSymbols="true" defaultGridColor="true" view="normal" topLeftCell="A1" colorId="64" zoomScale="55" zoomScaleNormal="55" zoomScalePageLayoutView="100" workbookViewId="0">
      <pane xSplit="0" ySplit="1" topLeftCell="A2" activePane="bottomLeft" state="frozen"/>
      <selection pane="topLeft" activeCell="A1" activeCellId="0" sqref="A1"/>
      <selection pane="bottomLeft" activeCell="G7" activeCellId="0" sqref="G7"/>
    </sheetView>
  </sheetViews>
  <sheetFormatPr defaultColWidth="8.984375" defaultRowHeight="13.8" zeroHeight="false" outlineLevelRow="0" outlineLevelCol="0"/>
  <cols>
    <col collapsed="false" customWidth="true" hidden="false" outlineLevel="0" max="1" min="1" style="3" width="24.64"/>
    <col collapsed="false" customWidth="true" hidden="false" outlineLevel="0" max="2" min="2" style="3" width="7.4"/>
    <col collapsed="false" customWidth="true" hidden="false" outlineLevel="0" max="3" min="3" style="3" width="9.79"/>
    <col collapsed="false" customWidth="true" hidden="false" outlineLevel="0" max="4" min="4" style="10" width="11.01"/>
    <col collapsed="false" customWidth="true" hidden="false" outlineLevel="0" max="5" min="5" style="3" width="9.2"/>
    <col collapsed="false" customWidth="true" hidden="false" outlineLevel="0" max="6" min="6" style="10" width="10.39"/>
    <col collapsed="false" customWidth="true" hidden="false" outlineLevel="0" max="9" min="7" style="3" width="12.8"/>
    <col collapsed="false" customWidth="true" hidden="false" outlineLevel="0" max="12" min="10" style="3" width="13"/>
    <col collapsed="false" customWidth="true" hidden="false" outlineLevel="0" max="15" min="13" style="3" width="14.2"/>
    <col collapsed="false" customWidth="true" hidden="false" outlineLevel="0" max="18" min="16" style="3" width="14.4"/>
    <col collapsed="false" customWidth="true" hidden="false" outlineLevel="0" max="20" min="19" style="3" width="18.79"/>
    <col collapsed="false" customWidth="true" hidden="false" outlineLevel="0" max="23" min="21" style="3" width="19"/>
    <col collapsed="false" customWidth="true" hidden="false" outlineLevel="0" max="24" min="24" style="11" width="12.6"/>
    <col collapsed="false" customWidth="false" hidden="false" outlineLevel="0" max="1024" min="25" style="3" width="9"/>
  </cols>
  <sheetData>
    <row r="1" s="12" customFormat="true" ht="14.25" hidden="false" customHeight="true" outlineLevel="0" collapsed="false">
      <c r="A1" s="12" t="s">
        <v>14</v>
      </c>
      <c r="B1" s="12" t="s">
        <v>15</v>
      </c>
      <c r="C1" s="12" t="s">
        <v>16</v>
      </c>
      <c r="D1" s="13" t="s">
        <v>17</v>
      </c>
      <c r="E1" s="12" t="s">
        <v>18</v>
      </c>
      <c r="F1" s="13" t="s">
        <v>19</v>
      </c>
      <c r="G1" s="14" t="s">
        <v>20</v>
      </c>
      <c r="H1" s="14" t="s">
        <v>21</v>
      </c>
      <c r="I1" s="14" t="s">
        <v>22</v>
      </c>
      <c r="J1" s="15" t="s">
        <v>23</v>
      </c>
      <c r="K1" s="15" t="s">
        <v>24</v>
      </c>
      <c r="L1" s="15" t="s">
        <v>25</v>
      </c>
      <c r="M1" s="14" t="s">
        <v>26</v>
      </c>
      <c r="N1" s="14" t="s">
        <v>27</v>
      </c>
      <c r="O1" s="14" t="s">
        <v>28</v>
      </c>
      <c r="P1" s="15" t="s">
        <v>29</v>
      </c>
      <c r="Q1" s="15" t="s">
        <v>30</v>
      </c>
      <c r="R1" s="15" t="s">
        <v>31</v>
      </c>
      <c r="S1" s="14" t="s">
        <v>32</v>
      </c>
      <c r="T1" s="14" t="s">
        <v>33</v>
      </c>
      <c r="U1" s="15" t="s">
        <v>34</v>
      </c>
      <c r="V1" s="15" t="s">
        <v>35</v>
      </c>
      <c r="W1" s="15" t="s">
        <v>36</v>
      </c>
      <c r="X1" s="16" t="s">
        <v>37</v>
      </c>
    </row>
    <row r="2" customFormat="false" ht="13.8" hidden="false" customHeight="false" outlineLevel="0" collapsed="false">
      <c r="A2" s="3" t="s">
        <v>38</v>
      </c>
      <c r="B2" s="3" t="n">
        <v>20000</v>
      </c>
      <c r="C2" s="3" t="s">
        <v>39</v>
      </c>
      <c r="D2" s="10" t="n">
        <v>0</v>
      </c>
      <c r="E2" s="3" t="s">
        <v>40</v>
      </c>
      <c r="F2" s="10" t="n">
        <v>0.999988425925926</v>
      </c>
      <c r="G2" s="3" t="n">
        <v>2.7</v>
      </c>
      <c r="H2" s="3" t="n">
        <v>3.6</v>
      </c>
      <c r="I2" s="3" t="n">
        <v>4.2</v>
      </c>
      <c r="J2" s="3" t="n">
        <v>-1</v>
      </c>
      <c r="K2" s="3" t="n">
        <v>-1</v>
      </c>
      <c r="L2" s="3" t="n">
        <v>-1</v>
      </c>
      <c r="M2" s="3" t="n">
        <v>5.3</v>
      </c>
      <c r="N2" s="3" t="n">
        <v>7.6</v>
      </c>
      <c r="O2" s="3" t="n">
        <v>8.9</v>
      </c>
      <c r="P2" s="3" t="n">
        <v>2.7</v>
      </c>
      <c r="Q2" s="3" t="n">
        <v>3.6</v>
      </c>
      <c r="R2" s="3" t="n">
        <v>4.2</v>
      </c>
      <c r="S2" s="3" t="n">
        <v>7.6</v>
      </c>
      <c r="T2" s="3" t="n">
        <v>8.9</v>
      </c>
      <c r="U2" s="3" t="n">
        <v>3.6</v>
      </c>
      <c r="V2" s="3" t="n">
        <v>4.2</v>
      </c>
      <c r="W2" s="3" t="n">
        <v>4.2</v>
      </c>
      <c r="X2" s="11" t="n">
        <v>45051</v>
      </c>
    </row>
    <row r="3" customFormat="false" ht="13.8" hidden="false" customHeight="false" outlineLevel="0" collapsed="false">
      <c r="A3" s="3" t="s">
        <v>41</v>
      </c>
      <c r="B3" s="3" t="n">
        <v>20002</v>
      </c>
      <c r="C3" s="3" t="s">
        <v>39</v>
      </c>
      <c r="D3" s="10" t="n">
        <v>0</v>
      </c>
      <c r="E3" s="3" t="s">
        <v>40</v>
      </c>
      <c r="F3" s="10" t="n">
        <v>0.999988425925926</v>
      </c>
      <c r="G3" s="3" t="n">
        <v>2.7</v>
      </c>
      <c r="H3" s="3" t="n">
        <v>3.6</v>
      </c>
      <c r="I3" s="3" t="n">
        <v>4.2</v>
      </c>
      <c r="J3" s="3" t="n">
        <v>-1</v>
      </c>
      <c r="K3" s="3" t="n">
        <v>-1</v>
      </c>
      <c r="L3" s="3" t="n">
        <v>-1</v>
      </c>
      <c r="M3" s="3" t="n">
        <v>5.3</v>
      </c>
      <c r="N3" s="3" t="n">
        <v>7.6</v>
      </c>
      <c r="O3" s="3" t="n">
        <v>8.9</v>
      </c>
      <c r="P3" s="3" t="n">
        <v>2.7</v>
      </c>
      <c r="Q3" s="3" t="n">
        <v>3.6</v>
      </c>
      <c r="R3" s="3" t="n">
        <v>4.2</v>
      </c>
      <c r="S3" s="3" t="n">
        <v>7.6</v>
      </c>
      <c r="T3" s="3" t="n">
        <v>8.9</v>
      </c>
      <c r="U3" s="3" t="n">
        <v>3.6</v>
      </c>
      <c r="V3" s="3" t="n">
        <v>4.2</v>
      </c>
      <c r="W3" s="3" t="n">
        <v>4.2</v>
      </c>
      <c r="X3" s="11" t="n">
        <v>45048</v>
      </c>
    </row>
    <row r="4" customFormat="false" ht="13.8" hidden="false" customHeight="false" outlineLevel="0" collapsed="false">
      <c r="A4" s="3" t="s">
        <v>42</v>
      </c>
      <c r="B4" s="3" t="n">
        <v>20004</v>
      </c>
      <c r="C4" s="3" t="s">
        <v>39</v>
      </c>
      <c r="D4" s="10" t="n">
        <v>0</v>
      </c>
      <c r="E4" s="3" t="s">
        <v>40</v>
      </c>
      <c r="F4" s="10" t="n">
        <v>0.999988425925926</v>
      </c>
      <c r="G4" s="3" t="n">
        <v>3.6</v>
      </c>
      <c r="H4" s="3" t="n">
        <v>5.4</v>
      </c>
      <c r="I4" s="3" t="n">
        <v>5.8</v>
      </c>
      <c r="J4" s="3" t="n">
        <v>-1</v>
      </c>
      <c r="K4" s="3" t="n">
        <v>-1</v>
      </c>
      <c r="L4" s="3" t="n">
        <v>-1</v>
      </c>
      <c r="M4" s="3" t="n">
        <v>7.6</v>
      </c>
      <c r="N4" s="3" t="n">
        <v>11.1</v>
      </c>
      <c r="O4" s="3" t="n">
        <v>12.2</v>
      </c>
      <c r="P4" s="3" t="n">
        <v>3.6</v>
      </c>
      <c r="Q4" s="3" t="n">
        <v>5.4</v>
      </c>
      <c r="R4" s="3" t="n">
        <v>5.8</v>
      </c>
      <c r="S4" s="3" t="n">
        <v>11.1</v>
      </c>
      <c r="T4" s="3" t="n">
        <v>12.2</v>
      </c>
      <c r="U4" s="3" t="n">
        <v>5.4</v>
      </c>
      <c r="V4" s="3" t="n">
        <v>5.8</v>
      </c>
      <c r="W4" s="3" t="n">
        <v>5.8</v>
      </c>
      <c r="X4" s="11" t="n">
        <v>45055</v>
      </c>
    </row>
    <row r="5" customFormat="false" ht="13.8" hidden="false" customHeight="false" outlineLevel="0" collapsed="false">
      <c r="A5" s="3" t="s">
        <v>43</v>
      </c>
      <c r="B5" s="3" t="n">
        <v>20006</v>
      </c>
      <c r="C5" s="3" t="s">
        <v>39</v>
      </c>
      <c r="D5" s="10" t="n">
        <v>0</v>
      </c>
      <c r="E5" s="3" t="s">
        <v>40</v>
      </c>
      <c r="F5" s="10" t="n">
        <v>0.999988425925926</v>
      </c>
      <c r="G5" s="3" t="n">
        <v>4.9</v>
      </c>
      <c r="H5" s="3" t="n">
        <v>6.6</v>
      </c>
      <c r="I5" s="3" t="n">
        <v>8.1</v>
      </c>
      <c r="J5" s="3" t="n">
        <v>-1</v>
      </c>
      <c r="K5" s="3" t="n">
        <v>-1</v>
      </c>
      <c r="L5" s="3" t="n">
        <v>-1</v>
      </c>
      <c r="M5" s="3" t="n">
        <v>10</v>
      </c>
      <c r="N5" s="3" t="n">
        <v>13.3</v>
      </c>
      <c r="O5" s="3" t="n">
        <v>17</v>
      </c>
      <c r="P5" s="3" t="n">
        <v>4.9</v>
      </c>
      <c r="Q5" s="3" t="n">
        <v>6.6</v>
      </c>
      <c r="R5" s="3" t="n">
        <v>8.1</v>
      </c>
      <c r="S5" s="3" t="n">
        <v>13.3</v>
      </c>
      <c r="T5" s="3" t="n">
        <v>17</v>
      </c>
      <c r="U5" s="3" t="n">
        <v>6.6</v>
      </c>
      <c r="V5" s="3" t="n">
        <v>8.1</v>
      </c>
      <c r="W5" s="3" t="n">
        <v>8.1</v>
      </c>
      <c r="X5" s="11" t="n">
        <v>45059</v>
      </c>
    </row>
    <row r="6" customFormat="false" ht="13.8" hidden="false" customHeight="false" outlineLevel="0" collapsed="false">
      <c r="A6" s="3" t="s">
        <v>44</v>
      </c>
      <c r="B6" s="3" t="n">
        <v>20008</v>
      </c>
      <c r="C6" s="3" t="s">
        <v>39</v>
      </c>
      <c r="D6" s="10" t="n">
        <v>0</v>
      </c>
      <c r="E6" s="3" t="s">
        <v>40</v>
      </c>
      <c r="F6" s="10" t="n">
        <v>0.999988425925926</v>
      </c>
      <c r="G6" s="3" t="n">
        <v>6.6</v>
      </c>
      <c r="H6" s="3" t="n">
        <v>8.8</v>
      </c>
      <c r="I6" s="3" t="n">
        <v>11</v>
      </c>
      <c r="J6" s="3" t="n">
        <v>-1</v>
      </c>
      <c r="K6" s="3" t="n">
        <v>-1</v>
      </c>
      <c r="L6" s="3" t="n">
        <v>-1</v>
      </c>
      <c r="M6" s="3" t="n">
        <v>13.3</v>
      </c>
      <c r="N6" s="3" t="n">
        <v>18</v>
      </c>
      <c r="O6" s="3" t="n">
        <v>22.5</v>
      </c>
      <c r="P6" s="3" t="n">
        <v>6.6</v>
      </c>
      <c r="Q6" s="3" t="n">
        <v>8.8</v>
      </c>
      <c r="R6" s="3" t="n">
        <v>11</v>
      </c>
      <c r="S6" s="3" t="n">
        <v>18</v>
      </c>
      <c r="T6" s="3" t="n">
        <v>22.5</v>
      </c>
      <c r="U6" s="3" t="n">
        <v>8.8</v>
      </c>
      <c r="V6" s="3" t="n">
        <v>11</v>
      </c>
      <c r="W6" s="3" t="n">
        <v>11</v>
      </c>
      <c r="X6" s="11" t="n">
        <v>45076</v>
      </c>
    </row>
    <row r="7" customFormat="false" ht="13.8" hidden="false" customHeight="false" outlineLevel="0" collapsed="false">
      <c r="A7" s="3" t="s">
        <v>45</v>
      </c>
      <c r="B7" s="3" t="n">
        <v>20010</v>
      </c>
      <c r="C7" s="3" t="s">
        <v>39</v>
      </c>
      <c r="D7" s="10" t="n">
        <v>0</v>
      </c>
      <c r="E7" s="3" t="s">
        <v>40</v>
      </c>
      <c r="F7" s="10" t="n">
        <v>0.999988425925926</v>
      </c>
      <c r="G7" s="3" t="n">
        <v>7.1</v>
      </c>
      <c r="H7" s="3" t="n">
        <v>10.4</v>
      </c>
      <c r="I7" s="3" t="n">
        <v>12.8</v>
      </c>
      <c r="J7" s="3" t="n">
        <v>-1</v>
      </c>
      <c r="K7" s="3" t="n">
        <v>-1</v>
      </c>
      <c r="L7" s="3" t="n">
        <v>-1</v>
      </c>
      <c r="M7" s="3" t="n">
        <v>14.4</v>
      </c>
      <c r="N7" s="3" t="n">
        <v>21.5</v>
      </c>
      <c r="O7" s="3" t="n">
        <v>26.1</v>
      </c>
      <c r="P7" s="3" t="n">
        <v>7.1</v>
      </c>
      <c r="Q7" s="3" t="n">
        <v>10.4</v>
      </c>
      <c r="R7" s="3" t="n">
        <v>12.8</v>
      </c>
      <c r="S7" s="3" t="n">
        <v>21.5</v>
      </c>
      <c r="T7" s="3" t="n">
        <v>26.1</v>
      </c>
      <c r="U7" s="3" t="n">
        <v>10.4</v>
      </c>
      <c r="V7" s="3" t="n">
        <v>12.8</v>
      </c>
      <c r="W7" s="3" t="n">
        <v>12.8</v>
      </c>
      <c r="X7" s="11" t="n">
        <v>45057</v>
      </c>
    </row>
    <row r="8" customFormat="false" ht="13.8" hidden="false" customHeight="false" outlineLevel="0" collapsed="false">
      <c r="A8" s="3" t="s">
        <v>46</v>
      </c>
      <c r="B8" s="3" t="n">
        <v>20012</v>
      </c>
      <c r="C8" s="3" t="s">
        <v>39</v>
      </c>
      <c r="D8" s="10" t="n">
        <v>0</v>
      </c>
      <c r="E8" s="3" t="s">
        <v>40</v>
      </c>
      <c r="F8" s="10" t="n">
        <v>0.999988425925926</v>
      </c>
      <c r="G8" s="3" t="n">
        <v>9.4</v>
      </c>
      <c r="H8" s="3" t="n">
        <v>13.8</v>
      </c>
      <c r="I8" s="3" t="n">
        <v>16.1</v>
      </c>
      <c r="J8" s="3" t="n">
        <v>-1</v>
      </c>
      <c r="K8" s="3" t="n">
        <v>-1</v>
      </c>
      <c r="L8" s="3" t="n">
        <v>-1</v>
      </c>
      <c r="M8" s="3" t="n">
        <v>19.2</v>
      </c>
      <c r="N8" s="3" t="n">
        <v>28.3</v>
      </c>
      <c r="O8" s="3" t="n">
        <v>32.8</v>
      </c>
      <c r="P8" s="3" t="n">
        <v>9.4</v>
      </c>
      <c r="Q8" s="3" t="n">
        <v>13.8</v>
      </c>
      <c r="R8" s="3" t="n">
        <v>16.1</v>
      </c>
      <c r="S8" s="3" t="n">
        <v>28.3</v>
      </c>
      <c r="T8" s="3" t="n">
        <v>32.8</v>
      </c>
      <c r="U8" s="3" t="n">
        <v>13.8</v>
      </c>
      <c r="V8" s="3" t="n">
        <v>16.1</v>
      </c>
      <c r="W8" s="3" t="n">
        <v>16.1</v>
      </c>
      <c r="X8" s="11" t="n">
        <v>45052</v>
      </c>
    </row>
    <row r="9" customFormat="false" ht="13.8" hidden="false" customHeight="false" outlineLevel="0" collapsed="false">
      <c r="A9" s="3" t="s">
        <v>47</v>
      </c>
      <c r="B9" s="3" t="n">
        <v>20014</v>
      </c>
      <c r="C9" s="3" t="s">
        <v>39</v>
      </c>
      <c r="D9" s="10" t="n">
        <v>0</v>
      </c>
      <c r="E9" s="3" t="s">
        <v>40</v>
      </c>
      <c r="F9" s="10" t="n">
        <v>0.999988425925926</v>
      </c>
      <c r="G9" s="3" t="n">
        <v>11.6</v>
      </c>
      <c r="H9" s="3" t="n">
        <v>17.3</v>
      </c>
      <c r="I9" s="3" t="n">
        <v>21.3</v>
      </c>
      <c r="J9" s="3" t="n">
        <v>-1</v>
      </c>
      <c r="K9" s="3" t="n">
        <v>-1</v>
      </c>
      <c r="L9" s="3" t="n">
        <v>-1</v>
      </c>
      <c r="M9" s="3" t="n">
        <v>23.6</v>
      </c>
      <c r="N9" s="3" t="n">
        <v>35.2</v>
      </c>
      <c r="O9" s="3" t="n">
        <v>43</v>
      </c>
      <c r="P9" s="3" t="n">
        <v>11.6</v>
      </c>
      <c r="Q9" s="3" t="n">
        <v>17.3</v>
      </c>
      <c r="R9" s="3" t="n">
        <v>21.3</v>
      </c>
      <c r="S9" s="3" t="n">
        <v>35.2</v>
      </c>
      <c r="T9" s="3" t="n">
        <v>43</v>
      </c>
      <c r="U9" s="3" t="n">
        <v>17.3</v>
      </c>
      <c r="V9" s="3" t="n">
        <v>21.3</v>
      </c>
      <c r="W9" s="3" t="n">
        <v>21.3</v>
      </c>
      <c r="X9" s="11" t="n">
        <v>45098</v>
      </c>
    </row>
    <row r="10" customFormat="false" ht="13.8" hidden="false" customHeight="false" outlineLevel="0" collapsed="false">
      <c r="A10" s="3" t="s">
        <v>48</v>
      </c>
      <c r="B10" s="3" t="n">
        <v>20016</v>
      </c>
      <c r="C10" s="3" t="s">
        <v>39</v>
      </c>
      <c r="D10" s="10" t="n">
        <v>0</v>
      </c>
      <c r="E10" s="3" t="s">
        <v>40</v>
      </c>
      <c r="F10" s="10" t="n">
        <v>0.999988425925926</v>
      </c>
      <c r="G10" s="3" t="n">
        <v>16.1</v>
      </c>
      <c r="H10" s="3" t="n">
        <v>24.1</v>
      </c>
      <c r="I10" s="3" t="n">
        <v>29.1</v>
      </c>
      <c r="J10" s="3" t="n">
        <v>-1</v>
      </c>
      <c r="K10" s="3" t="n">
        <v>-1</v>
      </c>
      <c r="L10" s="3" t="n">
        <v>-1</v>
      </c>
      <c r="M10" s="3" t="n">
        <v>32.8</v>
      </c>
      <c r="N10" s="3" t="n">
        <v>49</v>
      </c>
      <c r="O10" s="3" t="n">
        <v>59</v>
      </c>
      <c r="P10" s="3" t="n">
        <v>16.1</v>
      </c>
      <c r="Q10" s="3" t="n">
        <v>24.1</v>
      </c>
      <c r="R10" s="3" t="n">
        <v>29.1</v>
      </c>
      <c r="S10" s="3" t="n">
        <v>49</v>
      </c>
      <c r="T10" s="3" t="n">
        <v>59</v>
      </c>
      <c r="U10" s="3" t="n">
        <v>24.1</v>
      </c>
      <c r="V10" s="3" t="n">
        <v>29.1</v>
      </c>
      <c r="W10" s="3" t="n">
        <v>29.1</v>
      </c>
      <c r="X10" s="11" t="n">
        <v>45092</v>
      </c>
    </row>
    <row r="11" customFormat="false" ht="13.8" hidden="false" customHeight="false" outlineLevel="0" collapsed="false">
      <c r="A11" s="3" t="s">
        <v>49</v>
      </c>
      <c r="B11" s="3" t="n">
        <v>20018</v>
      </c>
      <c r="C11" s="3" t="s">
        <v>39</v>
      </c>
      <c r="D11" s="10" t="n">
        <v>0</v>
      </c>
      <c r="E11" s="3" t="s">
        <v>40</v>
      </c>
      <c r="F11" s="10" t="n">
        <v>0.999988425925926</v>
      </c>
      <c r="G11" s="3" t="n">
        <v>18.4</v>
      </c>
      <c r="H11" s="3" t="n">
        <v>27.5</v>
      </c>
      <c r="I11" s="3" t="n">
        <v>33.8</v>
      </c>
      <c r="J11" s="3" t="n">
        <v>-1</v>
      </c>
      <c r="K11" s="3" t="n">
        <v>-1</v>
      </c>
      <c r="L11" s="3" t="n">
        <v>-1</v>
      </c>
      <c r="M11" s="3" t="n">
        <v>37.2</v>
      </c>
      <c r="N11" s="3" t="n">
        <v>55.6</v>
      </c>
      <c r="O11" s="3" t="n">
        <v>67.9</v>
      </c>
      <c r="P11" s="3" t="n">
        <v>18.4</v>
      </c>
      <c r="Q11" s="3" t="n">
        <v>27.5</v>
      </c>
      <c r="R11" s="3" t="n">
        <v>33.8</v>
      </c>
      <c r="S11" s="3" t="n">
        <v>55.6</v>
      </c>
      <c r="T11" s="3" t="n">
        <v>67.9</v>
      </c>
      <c r="U11" s="3" t="n">
        <v>27.5</v>
      </c>
      <c r="V11" s="3" t="n">
        <v>33.8</v>
      </c>
      <c r="W11" s="3" t="n">
        <v>33.8</v>
      </c>
      <c r="X11" s="11" t="n">
        <v>45104</v>
      </c>
    </row>
    <row r="12" customFormat="false" ht="13.8" hidden="false" customHeight="false" outlineLevel="0" collapsed="false">
      <c r="A12" s="3" t="s">
        <v>50</v>
      </c>
      <c r="B12" s="3" t="n">
        <v>20020</v>
      </c>
      <c r="C12" s="3" t="s">
        <v>39</v>
      </c>
      <c r="D12" s="10" t="n">
        <v>0</v>
      </c>
      <c r="E12" s="3" t="s">
        <v>40</v>
      </c>
      <c r="F12" s="10" t="n">
        <v>0.999988425925926</v>
      </c>
      <c r="G12" s="3" t="n">
        <v>0</v>
      </c>
      <c r="H12" s="3" t="n">
        <v>0</v>
      </c>
      <c r="I12" s="3" t="n">
        <v>0</v>
      </c>
      <c r="J12" s="3" t="n">
        <v>0</v>
      </c>
      <c r="K12" s="3" t="n">
        <v>0</v>
      </c>
      <c r="L12" s="3" t="n">
        <v>0</v>
      </c>
      <c r="M12" s="3" t="n">
        <v>0</v>
      </c>
      <c r="N12" s="3" t="n">
        <v>0</v>
      </c>
      <c r="O12" s="3" t="n">
        <v>0</v>
      </c>
      <c r="P12" s="3" t="n">
        <v>0</v>
      </c>
      <c r="Q12" s="3" t="n">
        <v>0</v>
      </c>
      <c r="R12" s="3" t="n">
        <v>0</v>
      </c>
      <c r="S12" s="3" t="n">
        <v>0</v>
      </c>
      <c r="T12" s="3" t="n">
        <v>0</v>
      </c>
      <c r="U12" s="3" t="n">
        <v>0</v>
      </c>
      <c r="V12" s="3" t="n">
        <v>0</v>
      </c>
      <c r="W12" s="3" t="n">
        <v>0</v>
      </c>
      <c r="X12" s="11" t="n">
        <v>45116</v>
      </c>
    </row>
    <row r="13" customFormat="false" ht="13.8" hidden="false" customHeight="false" outlineLevel="0" collapsed="false">
      <c r="A13" s="3" t="s">
        <v>51</v>
      </c>
      <c r="B13" s="3" t="n">
        <v>20022</v>
      </c>
      <c r="C13" s="3" t="s">
        <v>39</v>
      </c>
      <c r="D13" s="10" t="n">
        <v>0</v>
      </c>
      <c r="E13" s="3" t="s">
        <v>40</v>
      </c>
      <c r="F13" s="10" t="n">
        <v>0.999988425925926</v>
      </c>
      <c r="G13" s="3" t="n">
        <v>21.9</v>
      </c>
      <c r="H13" s="3" t="n">
        <v>32.1</v>
      </c>
      <c r="I13" s="3" t="n">
        <v>40.1</v>
      </c>
      <c r="J13" s="3" t="n">
        <v>-1</v>
      </c>
      <c r="K13" s="3" t="n">
        <v>-1</v>
      </c>
      <c r="L13" s="3" t="n">
        <v>-1</v>
      </c>
      <c r="M13" s="3" t="n">
        <v>42.3</v>
      </c>
      <c r="N13" s="3" t="n">
        <v>61.5</v>
      </c>
      <c r="O13" s="3" t="n">
        <v>76.6</v>
      </c>
      <c r="P13" s="3" t="n">
        <v>21.9</v>
      </c>
      <c r="Q13" s="3" t="n">
        <v>32.1</v>
      </c>
      <c r="R13" s="3" t="n">
        <v>40.1</v>
      </c>
      <c r="S13" s="3" t="n">
        <v>61.5</v>
      </c>
      <c r="T13" s="3" t="n">
        <v>76.6</v>
      </c>
      <c r="U13" s="3" t="n">
        <v>32.1</v>
      </c>
      <c r="V13" s="3" t="n">
        <v>40.1</v>
      </c>
      <c r="W13" s="3" t="n">
        <v>40.1</v>
      </c>
      <c r="X13" s="11" t="n">
        <v>45110</v>
      </c>
    </row>
    <row r="14" customFormat="false" ht="13.8" hidden="false" customHeight="false" outlineLevel="0" collapsed="false">
      <c r="A14" s="3" t="s">
        <v>52</v>
      </c>
      <c r="B14" s="3" t="n">
        <v>20024</v>
      </c>
      <c r="C14" s="3" t="s">
        <v>39</v>
      </c>
      <c r="D14" s="10" t="n">
        <v>0</v>
      </c>
      <c r="E14" s="3" t="s">
        <v>40</v>
      </c>
      <c r="F14" s="10" t="n">
        <v>0.999988425925926</v>
      </c>
      <c r="G14" s="3" t="n">
        <v>23.5</v>
      </c>
      <c r="H14" s="3" t="n">
        <v>34.7</v>
      </c>
      <c r="I14" s="3" t="n">
        <v>42.7</v>
      </c>
      <c r="J14" s="3" t="n">
        <v>-1</v>
      </c>
      <c r="K14" s="3" t="n">
        <v>-1</v>
      </c>
      <c r="L14" s="3" t="n">
        <v>-1</v>
      </c>
      <c r="M14" s="3" t="n">
        <v>47.7</v>
      </c>
      <c r="N14" s="3" t="n">
        <v>70.8</v>
      </c>
      <c r="O14" s="3" t="n">
        <v>86.6</v>
      </c>
      <c r="P14" s="3" t="n">
        <v>23.5</v>
      </c>
      <c r="Q14" s="3" t="n">
        <v>34.7</v>
      </c>
      <c r="R14" s="3" t="n">
        <v>42.7</v>
      </c>
      <c r="S14" s="3" t="n">
        <v>70.8</v>
      </c>
      <c r="T14" s="3" t="n">
        <v>86.6</v>
      </c>
      <c r="U14" s="3" t="n">
        <v>34.7</v>
      </c>
      <c r="V14" s="3" t="n">
        <v>42.7</v>
      </c>
      <c r="W14" s="3" t="n">
        <v>42.7</v>
      </c>
      <c r="X14" s="11" t="n">
        <v>45095</v>
      </c>
    </row>
    <row r="15" customFormat="false" ht="13.8" hidden="false" customHeight="false" outlineLevel="0" collapsed="false">
      <c r="A15" s="3" t="s">
        <v>53</v>
      </c>
      <c r="B15" s="3" t="n">
        <v>20026</v>
      </c>
      <c r="C15" s="3" t="s">
        <v>39</v>
      </c>
      <c r="D15" s="10" t="n">
        <v>0</v>
      </c>
      <c r="E15" s="3" t="s">
        <v>40</v>
      </c>
      <c r="F15" s="10" t="n">
        <v>0.999988425925926</v>
      </c>
      <c r="G15" s="3" t="n">
        <v>26.8</v>
      </c>
      <c r="H15" s="3" t="n">
        <v>39.3</v>
      </c>
      <c r="I15" s="3" t="n">
        <v>47.9</v>
      </c>
      <c r="J15" s="3" t="n">
        <v>-1</v>
      </c>
      <c r="K15" s="3" t="n">
        <v>-1</v>
      </c>
      <c r="L15" s="3" t="n">
        <v>-1</v>
      </c>
      <c r="M15" s="3" t="n">
        <v>54.6</v>
      </c>
      <c r="N15" s="3" t="n">
        <v>79.6</v>
      </c>
      <c r="O15" s="3" t="n">
        <v>96.8</v>
      </c>
      <c r="P15" s="3" t="n">
        <v>26.8</v>
      </c>
      <c r="Q15" s="3" t="n">
        <v>39.3</v>
      </c>
      <c r="R15" s="3" t="n">
        <v>47.9</v>
      </c>
      <c r="S15" s="3" t="n">
        <v>79.6</v>
      </c>
      <c r="T15" s="3" t="n">
        <v>96.8</v>
      </c>
      <c r="U15" s="3" t="n">
        <v>39.3</v>
      </c>
      <c r="V15" s="3" t="n">
        <v>47.9</v>
      </c>
      <c r="W15" s="3" t="n">
        <v>47.9</v>
      </c>
      <c r="X15" s="11" t="n">
        <v>45113</v>
      </c>
    </row>
    <row r="16" customFormat="false" ht="13.8" hidden="false" customHeight="false" outlineLevel="0" collapsed="false">
      <c r="A16" s="3" t="s">
        <v>54</v>
      </c>
      <c r="B16" s="3" t="n">
        <v>20028</v>
      </c>
      <c r="C16" s="3" t="s">
        <v>39</v>
      </c>
      <c r="D16" s="10" t="n">
        <v>0</v>
      </c>
      <c r="E16" s="3" t="s">
        <v>40</v>
      </c>
      <c r="F16" s="10" t="n">
        <v>0.999988425925926</v>
      </c>
      <c r="G16" s="3" t="n">
        <v>28</v>
      </c>
      <c r="H16" s="3" t="n">
        <v>41</v>
      </c>
      <c r="I16" s="3" t="n">
        <v>50.1</v>
      </c>
      <c r="J16" s="3" t="n">
        <v>-1</v>
      </c>
      <c r="K16" s="3" t="n">
        <v>-1</v>
      </c>
      <c r="L16" s="3" t="n">
        <v>-1</v>
      </c>
      <c r="M16" s="3" t="n">
        <v>56.7</v>
      </c>
      <c r="N16" s="3" t="n">
        <v>83.2</v>
      </c>
      <c r="O16" s="3" t="n">
        <v>101.3</v>
      </c>
      <c r="P16" s="3" t="n">
        <v>28</v>
      </c>
      <c r="Q16" s="3" t="n">
        <v>41</v>
      </c>
      <c r="R16" s="3" t="n">
        <v>50.1</v>
      </c>
      <c r="S16" s="3" t="n">
        <v>83.2</v>
      </c>
      <c r="T16" s="3" t="n">
        <v>101.3</v>
      </c>
      <c r="U16" s="3" t="n">
        <v>41</v>
      </c>
      <c r="V16" s="3" t="n">
        <v>50.1</v>
      </c>
      <c r="W16" s="3" t="n">
        <v>50.1</v>
      </c>
      <c r="X16" s="11" t="n">
        <v>45063</v>
      </c>
    </row>
    <row r="17" customFormat="false" ht="13.8" hidden="false" customHeight="false" outlineLevel="0" collapsed="false">
      <c r="A17" s="3" t="s">
        <v>55</v>
      </c>
      <c r="B17" s="3" t="n">
        <v>20030</v>
      </c>
      <c r="C17" s="3" t="s">
        <v>39</v>
      </c>
      <c r="D17" s="10" t="n">
        <v>0</v>
      </c>
      <c r="E17" s="3" t="s">
        <v>40</v>
      </c>
      <c r="F17" s="10" t="n">
        <v>0.999988425925926</v>
      </c>
      <c r="G17" s="3" t="n">
        <v>28.5</v>
      </c>
      <c r="H17" s="3" t="n">
        <v>42.3</v>
      </c>
      <c r="I17" s="3" t="n">
        <v>52.3</v>
      </c>
      <c r="J17" s="3" t="n">
        <v>-1</v>
      </c>
      <c r="K17" s="3" t="n">
        <v>-1</v>
      </c>
      <c r="L17" s="3" t="n">
        <v>-1</v>
      </c>
      <c r="M17" s="3" t="n">
        <v>58.3</v>
      </c>
      <c r="N17" s="3" t="n">
        <v>85.4</v>
      </c>
      <c r="O17" s="3" t="n">
        <v>106.1</v>
      </c>
      <c r="P17" s="3" t="n">
        <v>28.5</v>
      </c>
      <c r="Q17" s="3" t="n">
        <v>42.3</v>
      </c>
      <c r="R17" s="3" t="n">
        <v>52.3</v>
      </c>
      <c r="S17" s="3" t="n">
        <v>85.4</v>
      </c>
      <c r="T17" s="3" t="n">
        <v>106.1</v>
      </c>
      <c r="U17" s="3" t="n">
        <v>42.3</v>
      </c>
      <c r="V17" s="3" t="n">
        <v>52.3</v>
      </c>
      <c r="W17" s="3" t="n">
        <v>52.3</v>
      </c>
      <c r="X17" s="11" t="n">
        <v>45071</v>
      </c>
    </row>
    <row r="18" customFormat="false" ht="13.8" hidden="false" customHeight="false" outlineLevel="0" collapsed="false">
      <c r="A18" s="3" t="s">
        <v>56</v>
      </c>
      <c r="B18" s="3" t="n">
        <v>20032</v>
      </c>
      <c r="C18" s="3" t="s">
        <v>39</v>
      </c>
      <c r="D18" s="10" t="n">
        <v>0</v>
      </c>
      <c r="E18" s="3" t="s">
        <v>40</v>
      </c>
      <c r="F18" s="10" t="n">
        <v>0.999988425925926</v>
      </c>
      <c r="G18" s="3" t="n">
        <v>29.1</v>
      </c>
      <c r="H18" s="3" t="n">
        <v>43.3</v>
      </c>
      <c r="I18" s="3" t="n">
        <v>53.7</v>
      </c>
      <c r="J18" s="3" t="n">
        <v>-1</v>
      </c>
      <c r="K18" s="3" t="n">
        <v>-1</v>
      </c>
      <c r="L18" s="3" t="n">
        <v>-1</v>
      </c>
      <c r="M18" s="3" t="n">
        <v>59</v>
      </c>
      <c r="N18" s="3" t="n">
        <v>87.6</v>
      </c>
      <c r="O18" s="3" t="n">
        <v>108.8</v>
      </c>
      <c r="P18" s="3" t="n">
        <v>29.1</v>
      </c>
      <c r="Q18" s="3" t="n">
        <v>43.3</v>
      </c>
      <c r="R18" s="3" t="n">
        <v>53.7</v>
      </c>
      <c r="S18" s="3" t="n">
        <v>87.6</v>
      </c>
      <c r="T18" s="3" t="n">
        <v>108.8</v>
      </c>
      <c r="U18" s="3" t="n">
        <v>43.3</v>
      </c>
      <c r="V18" s="3" t="n">
        <v>53.7</v>
      </c>
      <c r="W18" s="3" t="n">
        <v>53.7</v>
      </c>
      <c r="X18" s="11" t="n">
        <v>45085</v>
      </c>
    </row>
    <row r="19" customFormat="false" ht="13.8" hidden="false" customHeight="false" outlineLevel="0" collapsed="false">
      <c r="A19" s="3" t="s">
        <v>57</v>
      </c>
      <c r="B19" s="3" t="n">
        <v>20034</v>
      </c>
      <c r="C19" s="3" t="s">
        <v>39</v>
      </c>
      <c r="D19" s="10" t="n">
        <v>0</v>
      </c>
      <c r="E19" s="3" t="s">
        <v>40</v>
      </c>
      <c r="F19" s="10" t="n">
        <v>0.999988425925926</v>
      </c>
      <c r="G19" s="3" t="n">
        <v>30.7</v>
      </c>
      <c r="H19" s="3" t="n">
        <v>45.5</v>
      </c>
      <c r="I19" s="3" t="n">
        <v>57</v>
      </c>
      <c r="J19" s="3" t="n">
        <v>-1</v>
      </c>
      <c r="K19" s="3" t="n">
        <v>-1</v>
      </c>
      <c r="L19" s="3" t="n">
        <v>-1</v>
      </c>
      <c r="M19" s="3" t="n">
        <v>62.5</v>
      </c>
      <c r="N19" s="3" t="n">
        <v>92.1</v>
      </c>
      <c r="O19" s="3" t="n">
        <v>115.1</v>
      </c>
      <c r="P19" s="3" t="n">
        <v>30.7</v>
      </c>
      <c r="Q19" s="3" t="n">
        <v>45.5</v>
      </c>
      <c r="R19" s="3" t="n">
        <v>57</v>
      </c>
      <c r="S19" s="3" t="n">
        <v>92.1</v>
      </c>
      <c r="T19" s="3" t="n">
        <v>115.1</v>
      </c>
      <c r="U19" s="3" t="n">
        <v>45.5</v>
      </c>
      <c r="V19" s="3" t="n">
        <v>57</v>
      </c>
      <c r="W19" s="3" t="n">
        <v>57</v>
      </c>
      <c r="X19" s="11" t="n">
        <v>45099</v>
      </c>
    </row>
    <row r="20" customFormat="false" ht="13.8" hidden="false" customHeight="false" outlineLevel="0" collapsed="false">
      <c r="A20" s="3" t="s">
        <v>58</v>
      </c>
      <c r="B20" s="3" t="n">
        <v>20036</v>
      </c>
      <c r="C20" s="3" t="s">
        <v>39</v>
      </c>
      <c r="D20" s="10" t="n">
        <v>0</v>
      </c>
      <c r="E20" s="3" t="s">
        <v>40</v>
      </c>
      <c r="F20" s="10" t="n">
        <v>0.999988425925926</v>
      </c>
      <c r="G20" s="3" t="n">
        <v>33.8</v>
      </c>
      <c r="H20" s="3" t="n">
        <v>50.1</v>
      </c>
      <c r="I20" s="3" t="n">
        <v>61.4</v>
      </c>
      <c r="J20" s="3" t="n">
        <v>-1</v>
      </c>
      <c r="K20" s="3" t="n">
        <v>-1</v>
      </c>
      <c r="L20" s="3" t="n">
        <v>-1</v>
      </c>
      <c r="M20" s="3" t="n">
        <v>67.9</v>
      </c>
      <c r="N20" s="3" t="n">
        <v>101.3</v>
      </c>
      <c r="O20" s="3" t="n">
        <v>124.4</v>
      </c>
      <c r="P20" s="3" t="n">
        <v>33.8</v>
      </c>
      <c r="Q20" s="3" t="n">
        <v>50.1</v>
      </c>
      <c r="R20" s="3" t="n">
        <v>61.4</v>
      </c>
      <c r="S20" s="3" t="n">
        <v>101.3</v>
      </c>
      <c r="T20" s="3" t="n">
        <v>124.4</v>
      </c>
      <c r="U20" s="3" t="n">
        <v>50.1</v>
      </c>
      <c r="V20" s="3" t="n">
        <v>61.4</v>
      </c>
      <c r="W20" s="3" t="n">
        <v>61.4</v>
      </c>
      <c r="X20" s="11" t="n">
        <v>45091</v>
      </c>
    </row>
    <row r="21" customFormat="false" ht="13.8" hidden="false" customHeight="false" outlineLevel="0" collapsed="false">
      <c r="A21" s="3" t="s">
        <v>59</v>
      </c>
      <c r="B21" s="3" t="n">
        <v>20038</v>
      </c>
      <c r="C21" s="3" t="s">
        <v>39</v>
      </c>
      <c r="D21" s="10" t="n">
        <v>0</v>
      </c>
      <c r="E21" s="3" t="s">
        <v>40</v>
      </c>
      <c r="F21" s="10" t="n">
        <v>0.999988425925926</v>
      </c>
      <c r="G21" s="3" t="n">
        <v>34.7</v>
      </c>
      <c r="H21" s="3" t="n">
        <v>52.3</v>
      </c>
      <c r="I21" s="3" t="n">
        <v>63.6</v>
      </c>
      <c r="J21" s="3" t="n">
        <v>-1</v>
      </c>
      <c r="K21" s="3" t="n">
        <v>-1</v>
      </c>
      <c r="L21" s="3" t="n">
        <v>-1</v>
      </c>
      <c r="M21" s="3" t="n">
        <v>70.8</v>
      </c>
      <c r="N21" s="3" t="n">
        <v>106.1</v>
      </c>
      <c r="O21" s="3" t="n">
        <v>128.6</v>
      </c>
      <c r="P21" s="3" t="n">
        <v>34.7</v>
      </c>
      <c r="Q21" s="3" t="n">
        <v>52.3</v>
      </c>
      <c r="R21" s="3" t="n">
        <v>63.6</v>
      </c>
      <c r="S21" s="3" t="n">
        <v>106.1</v>
      </c>
      <c r="T21" s="3" t="n">
        <v>128.6</v>
      </c>
      <c r="U21" s="3" t="n">
        <v>52.3</v>
      </c>
      <c r="V21" s="3" t="n">
        <v>63.6</v>
      </c>
      <c r="W21" s="3" t="n">
        <v>63.6</v>
      </c>
      <c r="X21" s="11" t="n">
        <v>45079</v>
      </c>
    </row>
    <row r="22" customFormat="false" ht="13.8" hidden="false" customHeight="false" outlineLevel="0" collapsed="false">
      <c r="A22" s="3" t="s">
        <v>60</v>
      </c>
      <c r="B22" s="3" t="n">
        <v>20040</v>
      </c>
      <c r="C22" s="3" t="s">
        <v>39</v>
      </c>
      <c r="D22" s="10" t="n">
        <v>0</v>
      </c>
      <c r="E22" s="3" t="s">
        <v>40</v>
      </c>
      <c r="F22" s="10" t="n">
        <v>0.999988425925926</v>
      </c>
      <c r="G22" s="3" t="n">
        <v>36.5</v>
      </c>
      <c r="H22" s="3" t="n">
        <v>54.6</v>
      </c>
      <c r="I22" s="3" t="n">
        <v>65.9</v>
      </c>
      <c r="J22" s="3" t="n">
        <v>-1</v>
      </c>
      <c r="K22" s="3" t="n">
        <v>-1</v>
      </c>
      <c r="L22" s="3" t="n">
        <v>-1</v>
      </c>
      <c r="M22" s="3" t="n">
        <v>73.9</v>
      </c>
      <c r="N22" s="3" t="n">
        <v>110.3</v>
      </c>
      <c r="O22" s="3" t="n">
        <v>133.4</v>
      </c>
      <c r="P22" s="3" t="n">
        <v>36.5</v>
      </c>
      <c r="Q22" s="3" t="n">
        <v>54.6</v>
      </c>
      <c r="R22" s="3" t="n">
        <v>65.9</v>
      </c>
      <c r="S22" s="3" t="n">
        <v>110.3</v>
      </c>
      <c r="T22" s="3" t="n">
        <v>133.4</v>
      </c>
      <c r="U22" s="3" t="n">
        <v>54.6</v>
      </c>
      <c r="V22" s="3" t="n">
        <v>65.9</v>
      </c>
      <c r="W22" s="3" t="n">
        <v>65.9</v>
      </c>
      <c r="X22" s="11" t="n">
        <v>45075</v>
      </c>
    </row>
    <row r="23" customFormat="false" ht="13.8" hidden="false" customHeight="false" outlineLevel="0" collapsed="false">
      <c r="A23" s="3" t="s">
        <v>61</v>
      </c>
      <c r="B23" s="3" t="n">
        <v>20042</v>
      </c>
      <c r="C23" s="3" t="s">
        <v>39</v>
      </c>
      <c r="D23" s="10" t="n">
        <v>0</v>
      </c>
      <c r="E23" s="3" t="s">
        <v>40</v>
      </c>
      <c r="F23" s="10" t="n">
        <v>0.999988425925926</v>
      </c>
      <c r="G23" s="3" t="n">
        <v>38</v>
      </c>
      <c r="H23" s="3" t="n">
        <v>57.2</v>
      </c>
      <c r="I23" s="3" t="n">
        <v>68.7</v>
      </c>
      <c r="J23" s="3" t="n">
        <v>-1</v>
      </c>
      <c r="K23" s="3" t="n">
        <v>-1</v>
      </c>
      <c r="L23" s="3" t="n">
        <v>-1</v>
      </c>
      <c r="M23" s="3" t="n">
        <v>76.6</v>
      </c>
      <c r="N23" s="3" t="n">
        <v>115.5</v>
      </c>
      <c r="O23" s="3" t="n">
        <v>138.8</v>
      </c>
      <c r="P23" s="3" t="n">
        <v>38</v>
      </c>
      <c r="Q23" s="3" t="n">
        <v>57.2</v>
      </c>
      <c r="R23" s="3" t="n">
        <v>68.7</v>
      </c>
      <c r="S23" s="3" t="n">
        <v>115.5</v>
      </c>
      <c r="T23" s="3" t="n">
        <v>138.8</v>
      </c>
      <c r="U23" s="3" t="n">
        <v>57.2</v>
      </c>
      <c r="V23" s="3" t="n">
        <v>68.7</v>
      </c>
      <c r="W23" s="3" t="n">
        <v>68.7</v>
      </c>
      <c r="X23" s="11" t="n">
        <v>45110</v>
      </c>
    </row>
    <row r="24" customFormat="false" ht="13.8" hidden="false" customHeight="false" outlineLevel="0" collapsed="false">
      <c r="A24" s="3" t="s">
        <v>62</v>
      </c>
      <c r="B24" s="3" t="n">
        <v>20044</v>
      </c>
      <c r="C24" s="3" t="s">
        <v>39</v>
      </c>
      <c r="D24" s="10" t="n">
        <v>0</v>
      </c>
      <c r="E24" s="3" t="s">
        <v>40</v>
      </c>
      <c r="F24" s="10" t="n">
        <v>0.999988425925926</v>
      </c>
      <c r="G24" s="3" t="n">
        <v>38.7</v>
      </c>
      <c r="H24" s="3" t="n">
        <v>59.2</v>
      </c>
      <c r="I24" s="3" t="n">
        <v>70.4</v>
      </c>
      <c r="J24" s="3" t="n">
        <v>-1</v>
      </c>
      <c r="K24" s="3" t="n">
        <v>-1</v>
      </c>
      <c r="L24" s="3" t="n">
        <v>-1</v>
      </c>
      <c r="M24" s="3" t="n">
        <v>78.6</v>
      </c>
      <c r="N24" s="3" t="n">
        <v>119.4</v>
      </c>
      <c r="O24" s="3" t="n">
        <v>142.5</v>
      </c>
      <c r="P24" s="3" t="n">
        <v>38.7</v>
      </c>
      <c r="Q24" s="3" t="n">
        <v>59.2</v>
      </c>
      <c r="R24" s="3" t="n">
        <v>70.4</v>
      </c>
      <c r="S24" s="3" t="n">
        <v>119.4</v>
      </c>
      <c r="T24" s="3" t="n">
        <v>142.5</v>
      </c>
      <c r="U24" s="3" t="n">
        <v>59.2</v>
      </c>
      <c r="V24" s="3" t="n">
        <v>70.4</v>
      </c>
      <c r="W24" s="3" t="n">
        <v>70.4</v>
      </c>
      <c r="X24" s="11" t="n">
        <v>45114</v>
      </c>
    </row>
    <row r="25" customFormat="false" ht="13.8" hidden="false" customHeight="false" outlineLevel="0" collapsed="false">
      <c r="A25" s="3" t="s">
        <v>63</v>
      </c>
      <c r="B25" s="3" t="n">
        <v>20046</v>
      </c>
      <c r="C25" s="3" t="s">
        <v>39</v>
      </c>
      <c r="D25" s="10" t="n">
        <v>0</v>
      </c>
      <c r="E25" s="3" t="s">
        <v>40</v>
      </c>
      <c r="F25" s="10" t="n">
        <v>0.999988425925926</v>
      </c>
      <c r="G25" s="3" t="n">
        <v>40.1</v>
      </c>
      <c r="H25" s="3" t="n">
        <v>59.2</v>
      </c>
      <c r="I25" s="3" t="n">
        <v>72.8</v>
      </c>
      <c r="J25" s="3" t="n">
        <v>-1</v>
      </c>
      <c r="K25" s="3" t="n">
        <v>-1</v>
      </c>
      <c r="L25" s="3" t="n">
        <v>-1</v>
      </c>
      <c r="M25" s="3" t="n">
        <v>80.8</v>
      </c>
      <c r="N25" s="3" t="n">
        <v>119.4</v>
      </c>
      <c r="O25" s="3" t="n">
        <v>146.8</v>
      </c>
      <c r="P25" s="3" t="n">
        <v>40.1</v>
      </c>
      <c r="Q25" s="3" t="n">
        <v>59.2</v>
      </c>
      <c r="R25" s="3" t="n">
        <v>72.8</v>
      </c>
      <c r="S25" s="3" t="n">
        <v>119.4</v>
      </c>
      <c r="T25" s="3" t="n">
        <v>146.8</v>
      </c>
      <c r="U25" s="3" t="n">
        <v>59.2</v>
      </c>
      <c r="V25" s="3" t="n">
        <v>72.8</v>
      </c>
      <c r="W25" s="3" t="n">
        <v>72.8</v>
      </c>
      <c r="X25" s="11" t="n">
        <v>45118</v>
      </c>
    </row>
    <row r="26" customFormat="false" ht="13.8" hidden="false" customHeight="false" outlineLevel="0" collapsed="false">
      <c r="A26" s="3" t="s">
        <v>64</v>
      </c>
      <c r="B26" s="3" t="n">
        <v>20048</v>
      </c>
      <c r="C26" s="3" t="s">
        <v>39</v>
      </c>
      <c r="D26" s="10" t="n">
        <v>0</v>
      </c>
      <c r="E26" s="3" t="s">
        <v>40</v>
      </c>
      <c r="F26" s="10" t="n">
        <v>0.999988425925926</v>
      </c>
      <c r="G26" s="3" t="n">
        <v>0</v>
      </c>
      <c r="H26" s="3" t="n">
        <v>0</v>
      </c>
      <c r="I26" s="3" t="n">
        <v>0</v>
      </c>
      <c r="J26" s="3" t="n">
        <v>0</v>
      </c>
      <c r="K26" s="3" t="n">
        <v>0</v>
      </c>
      <c r="L26" s="3" t="n">
        <v>0</v>
      </c>
      <c r="M26" s="3" t="n">
        <v>0</v>
      </c>
      <c r="N26" s="3" t="n">
        <v>0</v>
      </c>
      <c r="O26" s="3" t="n">
        <v>0</v>
      </c>
      <c r="P26" s="3" t="n">
        <v>0</v>
      </c>
      <c r="Q26" s="3" t="n">
        <v>0</v>
      </c>
      <c r="R26" s="3" t="n">
        <v>0</v>
      </c>
      <c r="S26" s="3" t="n">
        <v>0</v>
      </c>
      <c r="T26" s="3" t="n">
        <v>0</v>
      </c>
      <c r="U26" s="3" t="n">
        <v>0</v>
      </c>
      <c r="V26" s="3" t="n">
        <v>0</v>
      </c>
      <c r="W26" s="3" t="n">
        <v>0</v>
      </c>
      <c r="X26" s="11" t="n">
        <v>45142</v>
      </c>
    </row>
    <row r="27" customFormat="false" ht="13.8" hidden="false" customHeight="false" outlineLevel="0" collapsed="false">
      <c r="A27" s="3" t="s">
        <v>65</v>
      </c>
      <c r="B27" s="3" t="n">
        <v>20050</v>
      </c>
      <c r="C27" s="3" t="s">
        <v>39</v>
      </c>
      <c r="D27" s="10" t="n">
        <v>0</v>
      </c>
      <c r="E27" s="3" t="s">
        <v>40</v>
      </c>
      <c r="F27" s="10" t="n">
        <v>0.999988425925926</v>
      </c>
      <c r="G27" s="3" t="n">
        <v>41.3</v>
      </c>
      <c r="H27" s="3" t="n">
        <v>61.4</v>
      </c>
      <c r="I27" s="3" t="n">
        <v>75</v>
      </c>
      <c r="J27" s="3" t="n">
        <v>-1</v>
      </c>
      <c r="K27" s="3" t="n">
        <v>-1</v>
      </c>
      <c r="L27" s="3" t="n">
        <v>-1</v>
      </c>
      <c r="M27" s="3" t="n">
        <v>83.5</v>
      </c>
      <c r="N27" s="3" t="n">
        <v>124.4</v>
      </c>
      <c r="O27" s="3" t="n">
        <v>151.5</v>
      </c>
      <c r="P27" s="3" t="n">
        <v>41.3</v>
      </c>
      <c r="Q27" s="3" t="n">
        <v>61.4</v>
      </c>
      <c r="R27" s="3" t="n">
        <v>75</v>
      </c>
      <c r="S27" s="3" t="n">
        <v>124.4</v>
      </c>
      <c r="T27" s="3" t="n">
        <v>151.5</v>
      </c>
      <c r="U27" s="3" t="n">
        <v>61.4</v>
      </c>
      <c r="V27" s="3" t="n">
        <v>75</v>
      </c>
      <c r="W27" s="3" t="n">
        <v>75</v>
      </c>
      <c r="X27" s="11" t="n">
        <v>45146</v>
      </c>
    </row>
    <row r="28" customFormat="false" ht="13.8" hidden="false" customHeight="false" outlineLevel="0" collapsed="false">
      <c r="A28" s="3" t="s">
        <v>66</v>
      </c>
      <c r="B28" s="3" t="n">
        <v>20052</v>
      </c>
      <c r="C28" s="3" t="s">
        <v>39</v>
      </c>
      <c r="D28" s="10" t="n">
        <v>0</v>
      </c>
      <c r="E28" s="3" t="s">
        <v>40</v>
      </c>
      <c r="F28" s="10" t="n">
        <v>0.999988425925926</v>
      </c>
      <c r="G28" s="3" t="n">
        <v>42.3</v>
      </c>
      <c r="H28" s="3" t="n">
        <v>61.4</v>
      </c>
      <c r="I28" s="3" t="n">
        <v>75</v>
      </c>
      <c r="J28" s="3" t="n">
        <v>-1</v>
      </c>
      <c r="K28" s="3" t="n">
        <v>-1</v>
      </c>
      <c r="L28" s="3" t="n">
        <v>-1</v>
      </c>
      <c r="M28" s="3" t="n">
        <v>85.4</v>
      </c>
      <c r="N28" s="3" t="n">
        <v>124.4</v>
      </c>
      <c r="O28" s="3" t="n">
        <v>151.5</v>
      </c>
      <c r="P28" s="3" t="n">
        <v>42.3</v>
      </c>
      <c r="Q28" s="3" t="n">
        <v>61.4</v>
      </c>
      <c r="R28" s="3" t="n">
        <v>75</v>
      </c>
      <c r="S28" s="3" t="n">
        <v>124.4</v>
      </c>
      <c r="T28" s="3" t="n">
        <v>151.5</v>
      </c>
      <c r="U28" s="3" t="n">
        <v>61.4</v>
      </c>
      <c r="V28" s="3" t="n">
        <v>75</v>
      </c>
      <c r="W28" s="3" t="n">
        <v>75</v>
      </c>
      <c r="X28" s="11" t="n">
        <v>45108</v>
      </c>
    </row>
    <row r="29" customFormat="false" ht="13.8" hidden="false" customHeight="false" outlineLevel="0" collapsed="false">
      <c r="A29" s="3" t="s">
        <v>67</v>
      </c>
      <c r="B29" s="3" t="n">
        <v>20054</v>
      </c>
      <c r="C29" s="3" t="s">
        <v>39</v>
      </c>
      <c r="D29" s="10" t="n">
        <v>0</v>
      </c>
      <c r="E29" s="3" t="s">
        <v>40</v>
      </c>
      <c r="F29" s="10" t="n">
        <v>0.999988425925926</v>
      </c>
      <c r="G29" s="3" t="n">
        <v>43.3</v>
      </c>
      <c r="H29" s="3" t="n">
        <v>63.6</v>
      </c>
      <c r="I29" s="3" t="n">
        <v>77.2</v>
      </c>
      <c r="J29" s="3" t="n">
        <v>-1</v>
      </c>
      <c r="K29" s="3" t="n">
        <v>-1</v>
      </c>
      <c r="L29" s="3" t="n">
        <v>-1</v>
      </c>
      <c r="M29" s="3" t="n">
        <v>87.6</v>
      </c>
      <c r="N29" s="3" t="n">
        <v>128.6</v>
      </c>
      <c r="O29" s="3" t="n">
        <v>156.4</v>
      </c>
      <c r="P29" s="3" t="n">
        <v>43.3</v>
      </c>
      <c r="Q29" s="3" t="n">
        <v>63.6</v>
      </c>
      <c r="R29" s="3" t="n">
        <v>77.2</v>
      </c>
      <c r="S29" s="3" t="n">
        <v>128.6</v>
      </c>
      <c r="T29" s="3" t="n">
        <v>156.4</v>
      </c>
      <c r="U29" s="3" t="n">
        <v>63.6</v>
      </c>
      <c r="V29" s="3" t="n">
        <v>77.2</v>
      </c>
      <c r="W29" s="3" t="n">
        <v>77.2</v>
      </c>
      <c r="X29" s="11" t="n">
        <v>45153</v>
      </c>
    </row>
    <row r="30" customFormat="false" ht="13.8" hidden="false" customHeight="false" outlineLevel="0" collapsed="false">
      <c r="A30" s="3" t="s">
        <v>68</v>
      </c>
      <c r="B30" s="3" t="n">
        <v>20058</v>
      </c>
      <c r="C30" s="3" t="s">
        <v>39</v>
      </c>
      <c r="D30" s="10" t="n">
        <v>0</v>
      </c>
      <c r="E30" s="3" t="s">
        <v>40</v>
      </c>
      <c r="F30" s="10" t="n">
        <v>0.999988425925926</v>
      </c>
      <c r="G30" s="3" t="n">
        <v>-1</v>
      </c>
      <c r="H30" s="3" t="n">
        <v>-1</v>
      </c>
      <c r="I30" s="3" t="n">
        <v>-1</v>
      </c>
      <c r="J30" s="3" t="n">
        <v>-1</v>
      </c>
      <c r="K30" s="3" t="n">
        <v>-1</v>
      </c>
      <c r="L30" s="3" t="n">
        <v>-1</v>
      </c>
      <c r="M30" s="3" t="n">
        <v>-1</v>
      </c>
      <c r="N30" s="3" t="n">
        <v>-1</v>
      </c>
      <c r="O30" s="3" t="n">
        <v>-1</v>
      </c>
      <c r="P30" s="3" t="n">
        <v>-1</v>
      </c>
      <c r="Q30" s="3" t="n">
        <v>-1</v>
      </c>
      <c r="R30" s="3" t="n">
        <v>-1</v>
      </c>
      <c r="S30" s="3" t="n">
        <v>-1</v>
      </c>
      <c r="T30" s="3" t="n">
        <v>-1</v>
      </c>
      <c r="U30" s="3" t="n">
        <v>-1</v>
      </c>
      <c r="V30" s="3" t="n">
        <v>-1</v>
      </c>
      <c r="W30" s="3" t="n">
        <v>-1</v>
      </c>
      <c r="X30" s="11" t="n">
        <v>45150</v>
      </c>
    </row>
    <row r="31" customFormat="false" ht="13.8" hidden="false" customHeight="false" outlineLevel="0" collapsed="false">
      <c r="A31" s="3" t="s">
        <v>69</v>
      </c>
      <c r="B31" s="3" t="n">
        <v>20060</v>
      </c>
      <c r="C31" s="3" t="s">
        <v>39</v>
      </c>
      <c r="D31" s="10" t="n">
        <v>0</v>
      </c>
      <c r="E31" s="3" t="s">
        <v>40</v>
      </c>
      <c r="F31" s="10" t="n">
        <v>0.999988425925926</v>
      </c>
      <c r="G31" s="3" t="n">
        <v>45</v>
      </c>
      <c r="H31" s="3" t="n">
        <v>65.9</v>
      </c>
      <c r="I31" s="3" t="n">
        <v>79.4</v>
      </c>
      <c r="J31" s="3" t="n">
        <v>-1</v>
      </c>
      <c r="K31" s="3" t="n">
        <v>-1</v>
      </c>
      <c r="L31" s="3" t="n">
        <v>-1</v>
      </c>
      <c r="M31" s="3" t="n">
        <v>90.9</v>
      </c>
      <c r="N31" s="3" t="n">
        <v>133.4</v>
      </c>
      <c r="O31" s="3" t="n">
        <v>160.9</v>
      </c>
      <c r="P31" s="3" t="n">
        <v>45</v>
      </c>
      <c r="Q31" s="3" t="n">
        <v>65.9</v>
      </c>
      <c r="R31" s="3" t="n">
        <v>79.4</v>
      </c>
      <c r="S31" s="3" t="n">
        <v>133.4</v>
      </c>
      <c r="T31" s="3" t="n">
        <v>160.9</v>
      </c>
      <c r="U31" s="3" t="n">
        <v>65.9</v>
      </c>
      <c r="V31" s="3" t="n">
        <v>79.4</v>
      </c>
      <c r="W31" s="3" t="n">
        <v>79.4</v>
      </c>
      <c r="X31" s="11" t="n">
        <v>45157</v>
      </c>
    </row>
    <row r="32" customFormat="false" ht="13.8" hidden="false" customHeight="false" outlineLevel="0" collapsed="false">
      <c r="A32" s="3" t="s">
        <v>70</v>
      </c>
      <c r="B32" s="3" t="n">
        <v>21000</v>
      </c>
      <c r="C32" s="3" t="s">
        <v>39</v>
      </c>
      <c r="D32" s="10" t="n">
        <v>0</v>
      </c>
      <c r="E32" s="3" t="s">
        <v>40</v>
      </c>
      <c r="F32" s="10" t="n">
        <v>0.999988425925926</v>
      </c>
      <c r="G32" s="3" t="n">
        <v>-1</v>
      </c>
      <c r="H32" s="3" t="n">
        <v>-1</v>
      </c>
      <c r="I32" s="3" t="n">
        <v>-1</v>
      </c>
      <c r="J32" s="3" t="n">
        <v>-1</v>
      </c>
      <c r="K32" s="3" t="n">
        <v>-1</v>
      </c>
      <c r="L32" s="3" t="n">
        <v>-1</v>
      </c>
      <c r="M32" s="3" t="n">
        <v>-1</v>
      </c>
      <c r="N32" s="3" t="n">
        <v>-1</v>
      </c>
      <c r="O32" s="3" t="n">
        <v>-1</v>
      </c>
      <c r="P32" s="3" t="n">
        <v>-1</v>
      </c>
      <c r="Q32" s="3" t="n">
        <v>-1</v>
      </c>
      <c r="R32" s="3" t="n">
        <v>-1</v>
      </c>
      <c r="S32" s="3" t="n">
        <v>-1</v>
      </c>
      <c r="T32" s="3" t="n">
        <v>-1</v>
      </c>
      <c r="U32" s="3" t="n">
        <v>-1</v>
      </c>
      <c r="V32" s="3" t="n">
        <v>-1</v>
      </c>
      <c r="W32" s="3" t="n">
        <v>-1</v>
      </c>
      <c r="X32" s="11" t="n">
        <v>45143</v>
      </c>
    </row>
    <row r="33" customFormat="false" ht="13.8" hidden="false" customHeight="false" outlineLevel="0" collapsed="false">
      <c r="A33" s="3" t="s">
        <v>71</v>
      </c>
      <c r="B33" s="3" t="n">
        <v>21002</v>
      </c>
      <c r="C33" s="3" t="s">
        <v>39</v>
      </c>
      <c r="D33" s="10" t="n">
        <v>0</v>
      </c>
      <c r="E33" s="3" t="s">
        <v>40</v>
      </c>
      <c r="F33" s="10" t="n">
        <v>0.999988425925926</v>
      </c>
      <c r="G33" s="3" t="n">
        <v>41.5</v>
      </c>
      <c r="H33" s="3" t="n">
        <v>61.4</v>
      </c>
      <c r="I33" s="3" t="n">
        <v>75</v>
      </c>
      <c r="J33" s="3" t="n">
        <v>-1</v>
      </c>
      <c r="K33" s="3" t="n">
        <v>-1</v>
      </c>
      <c r="L33" s="3" t="n">
        <v>-1</v>
      </c>
      <c r="M33" s="3" t="n">
        <v>84.6</v>
      </c>
      <c r="N33" s="3" t="n">
        <v>124.4</v>
      </c>
      <c r="O33" s="3" t="n">
        <v>151.5</v>
      </c>
      <c r="P33" s="3" t="n">
        <v>41.5</v>
      </c>
      <c r="Q33" s="3" t="n">
        <v>61.4</v>
      </c>
      <c r="R33" s="3" t="n">
        <v>75</v>
      </c>
      <c r="S33" s="3" t="n">
        <v>124.4</v>
      </c>
      <c r="T33" s="3" t="n">
        <v>151.5</v>
      </c>
      <c r="U33" s="3" t="n">
        <v>61.4</v>
      </c>
      <c r="V33" s="3" t="n">
        <v>75</v>
      </c>
      <c r="W33" s="3" t="n">
        <v>75</v>
      </c>
      <c r="X33" s="11" t="n">
        <v>45166</v>
      </c>
    </row>
    <row r="34" customFormat="false" ht="13.8" hidden="false" customHeight="false" outlineLevel="0" collapsed="false">
      <c r="A34" s="3" t="s">
        <v>72</v>
      </c>
      <c r="B34" s="3" t="n">
        <v>21004</v>
      </c>
      <c r="C34" s="3" t="s">
        <v>39</v>
      </c>
      <c r="D34" s="10" t="n">
        <v>0</v>
      </c>
      <c r="E34" s="3" t="s">
        <v>40</v>
      </c>
      <c r="F34" s="10" t="n">
        <v>0.999988425925926</v>
      </c>
      <c r="G34" s="3" t="n">
        <v>43.3</v>
      </c>
      <c r="H34" s="3" t="n">
        <v>63.6</v>
      </c>
      <c r="I34" s="3" t="n">
        <v>79.4</v>
      </c>
      <c r="J34" s="3" t="n">
        <v>-1</v>
      </c>
      <c r="K34" s="3" t="n">
        <v>-1</v>
      </c>
      <c r="L34" s="3" t="n">
        <v>-1</v>
      </c>
      <c r="M34" s="3" t="n">
        <v>87.6</v>
      </c>
      <c r="N34" s="3" t="n">
        <v>128.6</v>
      </c>
      <c r="O34" s="3" t="n">
        <v>160.9</v>
      </c>
      <c r="P34" s="3" t="n">
        <v>43.3</v>
      </c>
      <c r="Q34" s="3" t="n">
        <v>63.6</v>
      </c>
      <c r="R34" s="3" t="n">
        <v>79.4</v>
      </c>
      <c r="S34" s="3" t="n">
        <v>128.6</v>
      </c>
      <c r="T34" s="3" t="n">
        <v>160.9</v>
      </c>
      <c r="U34" s="3" t="n">
        <v>63.6</v>
      </c>
      <c r="V34" s="3" t="n">
        <v>79.4</v>
      </c>
      <c r="W34" s="3" t="n">
        <v>79.4</v>
      </c>
      <c r="X34" s="11" t="n">
        <v>45162</v>
      </c>
    </row>
    <row r="35" customFormat="false" ht="13.8" hidden="false" customHeight="false" outlineLevel="0" collapsed="false">
      <c r="A35" s="3" t="s">
        <v>73</v>
      </c>
      <c r="B35" s="3" t="n">
        <v>21006</v>
      </c>
      <c r="C35" s="3" t="s">
        <v>39</v>
      </c>
      <c r="D35" s="10" t="n">
        <v>0</v>
      </c>
      <c r="E35" s="3" t="s">
        <v>40</v>
      </c>
      <c r="F35" s="10" t="n">
        <v>0.999988425925926</v>
      </c>
      <c r="G35" s="3" t="n">
        <v>44.5</v>
      </c>
      <c r="H35" s="3" t="n">
        <v>65.9</v>
      </c>
      <c r="I35" s="3" t="n">
        <v>81.8</v>
      </c>
      <c r="J35" s="3" t="n">
        <v>-1</v>
      </c>
      <c r="K35" s="3" t="n">
        <v>-1</v>
      </c>
      <c r="L35" s="3" t="n">
        <v>-1</v>
      </c>
      <c r="M35" s="3" t="n">
        <v>89.9</v>
      </c>
      <c r="N35" s="3" t="n">
        <v>133.4</v>
      </c>
      <c r="O35" s="3" t="n">
        <v>165.3</v>
      </c>
      <c r="P35" s="3" t="n">
        <v>44.5</v>
      </c>
      <c r="Q35" s="3" t="n">
        <v>65.9</v>
      </c>
      <c r="R35" s="3" t="n">
        <v>81.8</v>
      </c>
      <c r="S35" s="3" t="n">
        <v>133.4</v>
      </c>
      <c r="T35" s="3" t="n">
        <v>165.3</v>
      </c>
      <c r="U35" s="3" t="n">
        <v>65.9</v>
      </c>
      <c r="V35" s="3" t="n">
        <v>81.8</v>
      </c>
      <c r="W35" s="3" t="n">
        <v>81.8</v>
      </c>
      <c r="X35" s="11" t="n">
        <v>45160</v>
      </c>
    </row>
    <row r="36" customFormat="false" ht="13.8" hidden="false" customHeight="false" outlineLevel="0" collapsed="false">
      <c r="A36" s="3" t="s">
        <v>74</v>
      </c>
      <c r="B36" s="3" t="n">
        <v>21008</v>
      </c>
      <c r="C36" s="3" t="s">
        <v>39</v>
      </c>
      <c r="D36" s="10" t="n">
        <v>0</v>
      </c>
      <c r="E36" s="3" t="s">
        <v>40</v>
      </c>
      <c r="F36" s="10" t="n">
        <v>0.999988425925926</v>
      </c>
      <c r="G36" s="3" t="n">
        <v>47.3</v>
      </c>
      <c r="H36" s="3" t="n">
        <v>70.4</v>
      </c>
      <c r="I36" s="3" t="n">
        <v>86.4</v>
      </c>
      <c r="J36" s="3" t="n">
        <v>-1</v>
      </c>
      <c r="K36" s="3" t="n">
        <v>-1</v>
      </c>
      <c r="L36" s="3" t="n">
        <v>-1</v>
      </c>
      <c r="M36" s="3" t="n">
        <v>95.6</v>
      </c>
      <c r="N36" s="3" t="n">
        <v>142.5</v>
      </c>
      <c r="O36" s="3" t="n">
        <v>174.2</v>
      </c>
      <c r="P36" s="3" t="n">
        <v>47.3</v>
      </c>
      <c r="Q36" s="3" t="n">
        <v>70.4</v>
      </c>
      <c r="R36" s="3" t="n">
        <v>86.4</v>
      </c>
      <c r="S36" s="3" t="n">
        <v>142.5</v>
      </c>
      <c r="T36" s="3" t="n">
        <v>174.2</v>
      </c>
      <c r="U36" s="3" t="n">
        <v>70.4</v>
      </c>
      <c r="V36" s="3" t="n">
        <v>86.4</v>
      </c>
      <c r="W36" s="3" t="n">
        <v>86.4</v>
      </c>
      <c r="X36" s="11" t="n">
        <v>45179</v>
      </c>
    </row>
    <row r="37" customFormat="false" ht="13.8" hidden="false" customHeight="false" outlineLevel="0" collapsed="false">
      <c r="A37" s="3" t="s">
        <v>75</v>
      </c>
      <c r="B37" s="3" t="n">
        <v>21010</v>
      </c>
      <c r="C37" s="3" t="s">
        <v>39</v>
      </c>
      <c r="D37" s="10" t="n">
        <v>0</v>
      </c>
      <c r="E37" s="3" t="s">
        <v>40</v>
      </c>
      <c r="F37" s="10" t="n">
        <v>0.999988425925926</v>
      </c>
      <c r="G37" s="3" t="n">
        <v>48.3</v>
      </c>
      <c r="H37" s="3" t="n">
        <v>72</v>
      </c>
      <c r="I37" s="3" t="n">
        <v>89</v>
      </c>
      <c r="J37" s="3" t="n">
        <v>-1</v>
      </c>
      <c r="K37" s="3" t="n">
        <v>-1</v>
      </c>
      <c r="L37" s="3" t="n">
        <v>-1</v>
      </c>
      <c r="M37" s="3" t="n">
        <v>97.9</v>
      </c>
      <c r="N37" s="3" t="n">
        <v>145.5</v>
      </c>
      <c r="O37" s="3" t="n">
        <v>179.8</v>
      </c>
      <c r="P37" s="3" t="n">
        <v>48.3</v>
      </c>
      <c r="Q37" s="3" t="n">
        <v>72</v>
      </c>
      <c r="R37" s="3" t="n">
        <v>89</v>
      </c>
      <c r="S37" s="3" t="n">
        <v>145.5</v>
      </c>
      <c r="T37" s="3" t="n">
        <v>179.8</v>
      </c>
      <c r="U37" s="3" t="n">
        <v>72</v>
      </c>
      <c r="V37" s="3" t="n">
        <v>89</v>
      </c>
      <c r="W37" s="3" t="n">
        <v>89</v>
      </c>
      <c r="X37" s="11" t="n">
        <v>45157</v>
      </c>
    </row>
    <row r="38" customFormat="false" ht="13.8" hidden="false" customHeight="false" outlineLevel="0" collapsed="false">
      <c r="A38" s="3" t="s">
        <v>76</v>
      </c>
      <c r="B38" s="3" t="n">
        <v>21012</v>
      </c>
      <c r="C38" s="3" t="s">
        <v>39</v>
      </c>
      <c r="D38" s="10" t="n">
        <v>0</v>
      </c>
      <c r="E38" s="3" t="s">
        <v>40</v>
      </c>
      <c r="F38" s="10" t="n">
        <v>0.999988425925926</v>
      </c>
      <c r="G38" s="3" t="n">
        <v>49.1</v>
      </c>
      <c r="H38" s="3" t="n">
        <v>72.8</v>
      </c>
      <c r="I38" s="3" t="n">
        <v>90.9</v>
      </c>
      <c r="J38" s="3" t="n">
        <v>-1</v>
      </c>
      <c r="K38" s="3" t="n">
        <v>-1</v>
      </c>
      <c r="L38" s="3" t="n">
        <v>-1</v>
      </c>
      <c r="M38" s="3" t="n">
        <v>99.5</v>
      </c>
      <c r="N38" s="3" t="n">
        <v>146.8</v>
      </c>
      <c r="O38" s="3" t="n">
        <v>183.5</v>
      </c>
      <c r="P38" s="3" t="n">
        <v>49.1</v>
      </c>
      <c r="Q38" s="3" t="n">
        <v>72.8</v>
      </c>
      <c r="R38" s="3" t="n">
        <v>90.9</v>
      </c>
      <c r="S38" s="3" t="n">
        <v>146.8</v>
      </c>
      <c r="T38" s="3" t="n">
        <v>183.5</v>
      </c>
      <c r="U38" s="3" t="n">
        <v>72.8</v>
      </c>
      <c r="V38" s="3" t="n">
        <v>90.9</v>
      </c>
      <c r="W38" s="3" t="n">
        <v>90.9</v>
      </c>
      <c r="X38" s="11" t="n">
        <v>45143</v>
      </c>
    </row>
    <row r="39" customFormat="false" ht="13.8" hidden="false" customHeight="false" outlineLevel="0" collapsed="false">
      <c r="A39" s="3" t="s">
        <v>77</v>
      </c>
      <c r="B39" s="3" t="n">
        <v>21014</v>
      </c>
      <c r="C39" s="3" t="s">
        <v>39</v>
      </c>
      <c r="D39" s="10" t="n">
        <v>0</v>
      </c>
      <c r="E39" s="3" t="s">
        <v>40</v>
      </c>
      <c r="F39" s="10" t="n">
        <v>0.999988425925926</v>
      </c>
      <c r="G39" s="3" t="n">
        <v>50.6</v>
      </c>
      <c r="H39" s="3" t="n">
        <v>75</v>
      </c>
      <c r="I39" s="3" t="n">
        <v>93.1</v>
      </c>
      <c r="J39" s="3" t="n">
        <v>-1</v>
      </c>
      <c r="K39" s="3" t="n">
        <v>-1</v>
      </c>
      <c r="L39" s="3" t="n">
        <v>-1</v>
      </c>
      <c r="M39" s="3" t="n">
        <v>102.6</v>
      </c>
      <c r="N39" s="3" t="n">
        <v>151.5</v>
      </c>
      <c r="O39" s="3" t="n">
        <v>188.1</v>
      </c>
      <c r="P39" s="3" t="n">
        <v>50.6</v>
      </c>
      <c r="Q39" s="3" t="n">
        <v>75</v>
      </c>
      <c r="R39" s="3" t="n">
        <v>93.1</v>
      </c>
      <c r="S39" s="3" t="n">
        <v>151.5</v>
      </c>
      <c r="T39" s="3" t="n">
        <v>188.1</v>
      </c>
      <c r="U39" s="3" t="n">
        <v>75</v>
      </c>
      <c r="V39" s="3" t="n">
        <v>93.1</v>
      </c>
      <c r="W39" s="3" t="n">
        <v>93.1</v>
      </c>
      <c r="X39" s="11" t="n">
        <v>45166</v>
      </c>
    </row>
    <row r="40" customFormat="false" ht="13.8" hidden="false" customHeight="false" outlineLevel="0" collapsed="false">
      <c r="A40" s="3" t="s">
        <v>78</v>
      </c>
      <c r="B40" s="3" t="n">
        <v>21016</v>
      </c>
      <c r="C40" s="3" t="s">
        <v>39</v>
      </c>
      <c r="D40" s="10" t="n">
        <v>0</v>
      </c>
      <c r="E40" s="3" t="s">
        <v>40</v>
      </c>
      <c r="F40" s="10" t="n">
        <v>0.999988425925926</v>
      </c>
      <c r="G40" s="3" t="n">
        <v>51.8</v>
      </c>
      <c r="H40" s="3" t="n">
        <v>77.2</v>
      </c>
      <c r="I40" s="3" t="n">
        <v>93.1</v>
      </c>
      <c r="J40" s="3" t="n">
        <v>-1</v>
      </c>
      <c r="K40" s="3" t="n">
        <v>-1</v>
      </c>
      <c r="L40" s="3" t="n">
        <v>-1</v>
      </c>
      <c r="M40" s="3" t="n">
        <v>104.5</v>
      </c>
      <c r="N40" s="3" t="n">
        <v>156.4</v>
      </c>
      <c r="O40" s="3" t="n">
        <v>188.1</v>
      </c>
      <c r="P40" s="3" t="n">
        <v>51.8</v>
      </c>
      <c r="Q40" s="3" t="n">
        <v>77.2</v>
      </c>
      <c r="R40" s="3" t="n">
        <v>93.1</v>
      </c>
      <c r="S40" s="3" t="n">
        <v>156.4</v>
      </c>
      <c r="T40" s="3" t="n">
        <v>188.1</v>
      </c>
      <c r="U40" s="3" t="n">
        <v>77.2</v>
      </c>
      <c r="V40" s="3" t="n">
        <v>93.1</v>
      </c>
      <c r="W40" s="3" t="n">
        <v>93.1</v>
      </c>
      <c r="X40" s="11" t="n">
        <v>45162</v>
      </c>
    </row>
    <row r="41" customFormat="false" ht="13.8" hidden="false" customHeight="false" outlineLevel="0" collapsed="false">
      <c r="H41" s="17" t="n">
        <f aca="false"> SUMIF(H2:H40, "&gt;20")</f>
        <v>1473</v>
      </c>
    </row>
  </sheetData>
  <conditionalFormatting sqref="A1:A1048576">
    <cfRule type="duplicateValues" priority="2" aboveAverage="0" equalAverage="0" bottom="0" percent="0" rank="0" text="" dxfId="8"/>
  </conditionalFormatting>
  <conditionalFormatting sqref="B1:B1048576">
    <cfRule type="duplicateValues" priority="3" aboveAverage="0" equalAverage="0" bottom="0" percent="0" rank="0" text="" dxfId="9"/>
  </conditionalFormatting>
  <conditionalFormatting sqref="G1:W40">
    <cfRule type="cellIs" priority="4" operator="equal" aboveAverage="0" equalAverage="0" bottom="0" percent="0" rank="0" text="" dxfId="10">
      <formula>0</formula>
    </cfRule>
    <cfRule type="cellIs" priority="5" operator="equal" aboveAverage="0" equalAverage="0" bottom="0" percent="0" rank="0" text="" dxfId="11">
      <formula>-1</formula>
    </cfRule>
  </conditionalFormatting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E14"/>
  <sheetViews>
    <sheetView showFormulas="false" showGridLines="true" showRowColHeaders="true" showZeros="true" rightToLeft="false" tabSelected="false" showOutlineSymbols="true" defaultGridColor="true" view="normal" topLeftCell="A1" colorId="64" zoomScale="55" zoomScaleNormal="55" zoomScalePageLayoutView="100" workbookViewId="0">
      <selection pane="topLeft" activeCell="E10" activeCellId="0" sqref="E10"/>
    </sheetView>
  </sheetViews>
  <sheetFormatPr defaultColWidth="10.984375" defaultRowHeight="15" zeroHeight="false" outlineLevelRow="0" outlineLevelCol="0"/>
  <cols>
    <col collapsed="false" customWidth="true" hidden="false" outlineLevel="0" max="1" min="1" style="3" width="8.4"/>
    <col collapsed="false" customWidth="true" hidden="false" outlineLevel="0" max="2" min="2" style="3" width="65.8"/>
    <col collapsed="false" customWidth="true" hidden="false" outlineLevel="0" max="3" min="3" style="3" width="42.32"/>
    <col collapsed="false" customWidth="false" hidden="false" outlineLevel="0" max="4" min="4" style="3" width="11.01"/>
    <col collapsed="false" customWidth="true" hidden="false" outlineLevel="0" max="5" min="5" style="3" width="14.4"/>
    <col collapsed="false" customWidth="false" hidden="false" outlineLevel="0" max="1024" min="6" style="3" width="11.01"/>
  </cols>
  <sheetData>
    <row r="1" customFormat="false" ht="15" hidden="false" customHeight="false" outlineLevel="0" collapsed="false">
      <c r="A1" s="18" t="s">
        <v>79</v>
      </c>
      <c r="B1" s="18" t="s">
        <v>80</v>
      </c>
      <c r="C1" s="18" t="s">
        <v>81</v>
      </c>
      <c r="E1" s="18" t="s">
        <v>82</v>
      </c>
    </row>
    <row r="2" customFormat="false" ht="15" hidden="false" customHeight="false" outlineLevel="0" collapsed="false">
      <c r="A2" s="1"/>
      <c r="B2" s="19" t="s">
        <v>83</v>
      </c>
      <c r="C2" s="1"/>
    </row>
    <row r="3" customFormat="false" ht="15" hidden="false" customHeight="false" outlineLevel="0" collapsed="false">
      <c r="A3" s="20" t="n">
        <v>1</v>
      </c>
      <c r="B3" s="1" t="s">
        <v>84</v>
      </c>
      <c r="C3" s="1" t="s">
        <v>85</v>
      </c>
      <c r="D3" s="3" t="s">
        <v>86</v>
      </c>
      <c r="E3" s="3" t="n">
        <v>5</v>
      </c>
    </row>
    <row r="4" customFormat="false" ht="15" hidden="false" customHeight="false" outlineLevel="0" collapsed="false">
      <c r="A4" s="20" t="n">
        <v>2</v>
      </c>
      <c r="B4" s="1" t="s">
        <v>87</v>
      </c>
      <c r="C4" s="1"/>
      <c r="D4" s="3" t="s">
        <v>86</v>
      </c>
      <c r="E4" s="3" t="n">
        <v>5</v>
      </c>
    </row>
    <row r="5" customFormat="false" ht="13.8" hidden="false" customHeight="false" outlineLevel="0" collapsed="false">
      <c r="A5" s="20" t="n">
        <v>3</v>
      </c>
      <c r="B5" s="1" t="s">
        <v>88</v>
      </c>
      <c r="C5" s="21" t="s">
        <v>89</v>
      </c>
      <c r="D5" s="3" t="s">
        <v>86</v>
      </c>
      <c r="E5" s="3" t="n">
        <v>10</v>
      </c>
    </row>
    <row r="6" customFormat="false" ht="15" hidden="false" customHeight="false" outlineLevel="0" collapsed="false">
      <c r="A6" s="20" t="n">
        <v>4</v>
      </c>
      <c r="B6" s="1" t="s">
        <v>90</v>
      </c>
      <c r="C6" s="1"/>
      <c r="D6" s="3" t="s">
        <v>86</v>
      </c>
      <c r="E6" s="3" t="n">
        <v>5</v>
      </c>
    </row>
    <row r="7" customFormat="false" ht="15" hidden="false" customHeight="false" outlineLevel="0" collapsed="false">
      <c r="A7" s="1"/>
      <c r="B7" s="1"/>
      <c r="C7" s="1"/>
    </row>
    <row r="13" customFormat="false" ht="15" hidden="false" customHeight="false" outlineLevel="0" collapsed="false">
      <c r="E13" s="1"/>
    </row>
    <row r="14" customFormat="false" ht="15" hidden="false" customHeight="false" outlineLevel="0" collapsed="false">
      <c r="E14" s="1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G30"/>
  <sheetViews>
    <sheetView showFormulas="false" showGridLines="true" showRowColHeaders="true" showZeros="true" rightToLeft="false" tabSelected="false" showOutlineSymbols="true" defaultGridColor="true" view="normal" topLeftCell="A1" colorId="64" zoomScale="55" zoomScaleNormal="55" zoomScalePageLayoutView="100" workbookViewId="0">
      <selection pane="topLeft" activeCell="I28" activeCellId="0" sqref="I28"/>
    </sheetView>
  </sheetViews>
  <sheetFormatPr defaultColWidth="10.984375" defaultRowHeight="13.5" zeroHeight="false" outlineLevelRow="0" outlineLevelCol="0"/>
  <cols>
    <col collapsed="false" customWidth="true" hidden="false" outlineLevel="0" max="1" min="1" style="1" width="18.6"/>
    <col collapsed="false" customWidth="true" hidden="false" outlineLevel="0" max="6" min="2" style="1" width="15.39"/>
    <col collapsed="false" customWidth="false" hidden="false" outlineLevel="0" max="7" min="7" style="1" width="11.01"/>
    <col collapsed="false" customWidth="true" hidden="false" outlineLevel="0" max="8" min="8" style="1" width="14.4"/>
    <col collapsed="false" customWidth="false" hidden="false" outlineLevel="0" max="1024" min="9" style="1" width="11.01"/>
  </cols>
  <sheetData>
    <row r="1" s="23" customFormat="true" ht="21" hidden="false" customHeight="false" outlineLevel="0" collapsed="false">
      <c r="A1" s="22" t="s">
        <v>9</v>
      </c>
      <c r="B1" s="23" t="s">
        <v>91</v>
      </c>
    </row>
    <row r="2" s="23" customFormat="true" ht="21" hidden="false" customHeight="false" outlineLevel="0" collapsed="false">
      <c r="B2" s="23" t="s">
        <v>92</v>
      </c>
    </row>
    <row r="3" customFormat="false" ht="15" hidden="false" customHeight="false" outlineLevel="0" collapsed="false">
      <c r="A3" s="3"/>
      <c r="B3" s="3"/>
      <c r="C3" s="3"/>
      <c r="D3" s="3"/>
      <c r="E3" s="3"/>
      <c r="F3" s="3"/>
      <c r="G3" s="3"/>
    </row>
    <row r="4" customFormat="false" ht="24" hidden="false" customHeight="false" outlineLevel="0" collapsed="false">
      <c r="A4" s="24" t="s">
        <v>93</v>
      </c>
      <c r="B4" s="3"/>
      <c r="C4" s="3"/>
      <c r="D4" s="3"/>
      <c r="E4" s="3"/>
      <c r="F4" s="3"/>
      <c r="G4" s="3"/>
    </row>
    <row r="5" customFormat="false" ht="15" hidden="false" customHeight="false" outlineLevel="0" collapsed="false">
      <c r="A5" s="25" t="s">
        <v>14</v>
      </c>
      <c r="B5" s="26" t="s">
        <v>20</v>
      </c>
      <c r="C5" s="27" t="s">
        <v>27</v>
      </c>
      <c r="D5" s="26" t="s">
        <v>31</v>
      </c>
      <c r="E5" s="27" t="s">
        <v>33</v>
      </c>
      <c r="F5" s="28" t="s">
        <v>35</v>
      </c>
    </row>
    <row r="6" customFormat="false" ht="13.8" hidden="false" customHeight="false" outlineLevel="0" collapsed="false">
      <c r="A6" s="29" t="s">
        <v>38</v>
      </c>
      <c r="B6" s="30" t="n">
        <f aca="false">VLOOKUP(A6,Dataset!A:G,7,0)</f>
        <v>2.7</v>
      </c>
      <c r="C6" s="30" t="n">
        <f aca="false">VLOOKUP(A6,Dataset!A1:N41,14,0)</f>
        <v>7.6</v>
      </c>
      <c r="D6" s="30" t="n">
        <f aca="false">VLOOKUP(A6,Dataset!A:R,18,0)</f>
        <v>4.2</v>
      </c>
      <c r="E6" s="30" t="n">
        <f aca="false">VLOOKUP(A6,Dataset!A:T,20,0)</f>
        <v>8.9</v>
      </c>
      <c r="F6" s="31" t="n">
        <f aca="false">VLOOKUP(A6,Dataset!A:V,22,0)</f>
        <v>4.2</v>
      </c>
    </row>
    <row r="7" customFormat="false" ht="13.8" hidden="false" customHeight="false" outlineLevel="0" collapsed="false">
      <c r="A7" s="29" t="s">
        <v>41</v>
      </c>
      <c r="B7" s="30" t="n">
        <f aca="false">VLOOKUP(A7,Dataset!A:G,7,0)</f>
        <v>2.7</v>
      </c>
      <c r="C7" s="30" t="n">
        <f aca="false">VLOOKUP(A7,Dataset!A2:N42,14,0)</f>
        <v>7.6</v>
      </c>
      <c r="D7" s="30" t="n">
        <f aca="false">VLOOKUP(A7,Dataset!A:R,18,0)</f>
        <v>4.2</v>
      </c>
      <c r="E7" s="30" t="n">
        <f aca="false">VLOOKUP(A7,Dataset!A:T,20,0)</f>
        <v>8.9</v>
      </c>
      <c r="F7" s="31" t="n">
        <f aca="false">VLOOKUP(A7,Dataset!A:V,22,0)</f>
        <v>4.2</v>
      </c>
    </row>
    <row r="8" customFormat="false" ht="13.8" hidden="false" customHeight="false" outlineLevel="0" collapsed="false">
      <c r="A8" s="29" t="s">
        <v>42</v>
      </c>
      <c r="B8" s="30" t="n">
        <f aca="false">VLOOKUP(A8,Dataset!A:G,7,0)</f>
        <v>3.6</v>
      </c>
      <c r="C8" s="30" t="n">
        <f aca="false">VLOOKUP(A8,Dataset!A3:N43,14,0)</f>
        <v>11.1</v>
      </c>
      <c r="D8" s="30" t="n">
        <f aca="false">VLOOKUP(A8,Dataset!A:R,18,0)</f>
        <v>5.8</v>
      </c>
      <c r="E8" s="30" t="n">
        <f aca="false">VLOOKUP(A8,Dataset!A:T,20,0)</f>
        <v>12.2</v>
      </c>
      <c r="F8" s="31" t="n">
        <f aca="false">VLOOKUP(A8,Dataset!A:V,22,0)</f>
        <v>5.8</v>
      </c>
    </row>
    <row r="9" customFormat="false" ht="13.8" hidden="false" customHeight="false" outlineLevel="0" collapsed="false">
      <c r="A9" s="29" t="s">
        <v>43</v>
      </c>
      <c r="B9" s="30" t="n">
        <f aca="false">VLOOKUP(A9,Dataset!A:G,7,0)</f>
        <v>4.9</v>
      </c>
      <c r="C9" s="30" t="n">
        <f aca="false">VLOOKUP(A9,Dataset!A4:N44,14,0)</f>
        <v>13.3</v>
      </c>
      <c r="D9" s="30" t="n">
        <f aca="false">VLOOKUP(A9,Dataset!A:R,18,0)</f>
        <v>8.1</v>
      </c>
      <c r="E9" s="30" t="n">
        <f aca="false">VLOOKUP(A9,Dataset!A:T,20,0)</f>
        <v>17</v>
      </c>
      <c r="F9" s="31" t="n">
        <f aca="false">VLOOKUP(A9,Dataset!A:V,22,0)</f>
        <v>8.1</v>
      </c>
    </row>
    <row r="10" customFormat="false" ht="13.8" hidden="false" customHeight="false" outlineLevel="0" collapsed="false">
      <c r="A10" s="29" t="s">
        <v>46</v>
      </c>
      <c r="B10" s="30" t="n">
        <f aca="false">VLOOKUP(A10,Dataset!A:G,7,0)</f>
        <v>9.4</v>
      </c>
      <c r="C10" s="30" t="n">
        <f aca="false">VLOOKUP(A10,Dataset!A5:N45,14,0)</f>
        <v>28.3</v>
      </c>
      <c r="D10" s="30" t="n">
        <f aca="false">VLOOKUP(A10,Dataset!A:R,18,0)</f>
        <v>16.1</v>
      </c>
      <c r="E10" s="30" t="n">
        <f aca="false">VLOOKUP(A10,Dataset!A:T,20,0)</f>
        <v>32.8</v>
      </c>
      <c r="F10" s="31" t="n">
        <f aca="false">VLOOKUP(A10,Dataset!A:V,22,0)</f>
        <v>16.1</v>
      </c>
    </row>
    <row r="11" customFormat="false" ht="13.8" hidden="false" customHeight="false" outlineLevel="0" collapsed="false">
      <c r="A11" s="29" t="s">
        <v>47</v>
      </c>
      <c r="B11" s="30" t="n">
        <f aca="false">VLOOKUP(A11,Dataset!A:G,7,0)</f>
        <v>11.6</v>
      </c>
      <c r="C11" s="30" t="n">
        <f aca="false">VLOOKUP(A11,Dataset!A6:N46,14,0)</f>
        <v>35.2</v>
      </c>
      <c r="D11" s="30" t="n">
        <f aca="false">VLOOKUP(A11,Dataset!A:R,18,0)</f>
        <v>21.3</v>
      </c>
      <c r="E11" s="30" t="n">
        <f aca="false">VLOOKUP(A11,Dataset!A:T,20,0)</f>
        <v>43</v>
      </c>
      <c r="F11" s="31" t="n">
        <f aca="false">VLOOKUP(A11,Dataset!A:V,22,0)</f>
        <v>21.3</v>
      </c>
    </row>
    <row r="12" customFormat="false" ht="13.8" hidden="false" customHeight="false" outlineLevel="0" collapsed="false">
      <c r="A12" s="29" t="s">
        <v>49</v>
      </c>
      <c r="B12" s="30" t="n">
        <f aca="false">VLOOKUP(A12,Dataset!A:G,7,0)</f>
        <v>18.4</v>
      </c>
      <c r="C12" s="30" t="n">
        <f aca="false">VLOOKUP(A12,Dataset!A7:N47,14,0)</f>
        <v>55.6</v>
      </c>
      <c r="D12" s="30" t="n">
        <f aca="false">VLOOKUP(A12,Dataset!A:R,18,0)</f>
        <v>33.8</v>
      </c>
      <c r="E12" s="30" t="n">
        <f aca="false">VLOOKUP(A12,Dataset!A:T,20,0)</f>
        <v>67.9</v>
      </c>
      <c r="F12" s="31" t="n">
        <f aca="false">VLOOKUP(A12,Dataset!A:V,22,0)</f>
        <v>33.8</v>
      </c>
    </row>
    <row r="13" customFormat="false" ht="13.8" hidden="false" customHeight="false" outlineLevel="0" collapsed="false">
      <c r="A13" s="29" t="s">
        <v>50</v>
      </c>
      <c r="B13" s="30" t="n">
        <f aca="false">VLOOKUP(A13,Dataset!A:G,7,0)</f>
        <v>0</v>
      </c>
      <c r="C13" s="30" t="n">
        <f aca="false">VLOOKUP(A13,Dataset!A8:N48,14,0)</f>
        <v>0</v>
      </c>
      <c r="D13" s="30" t="n">
        <f aca="false">VLOOKUP(A13,Dataset!A:R,18,0)</f>
        <v>0</v>
      </c>
      <c r="E13" s="30" t="n">
        <f aca="false">VLOOKUP(A13,Dataset!A:T,20,0)</f>
        <v>0</v>
      </c>
      <c r="F13" s="31" t="n">
        <f aca="false">VLOOKUP(A13,Dataset!A:V,22,0)</f>
        <v>0</v>
      </c>
    </row>
    <row r="14" customFormat="false" ht="13.8" hidden="false" customHeight="false" outlineLevel="0" collapsed="false">
      <c r="A14" s="29" t="s">
        <v>51</v>
      </c>
      <c r="B14" s="30" t="n">
        <f aca="false">VLOOKUP(A14,Dataset!A:G,7,0)</f>
        <v>21.9</v>
      </c>
      <c r="C14" s="30" t="n">
        <f aca="false">VLOOKUP(A14,Dataset!A9:N49,14,0)</f>
        <v>61.5</v>
      </c>
      <c r="D14" s="30" t="n">
        <f aca="false">VLOOKUP(A14,Dataset!A:R,18,0)</f>
        <v>40.1</v>
      </c>
      <c r="E14" s="30" t="n">
        <f aca="false">VLOOKUP(A14,Dataset!A:T,20,0)</f>
        <v>76.6</v>
      </c>
      <c r="F14" s="31" t="n">
        <f aca="false">VLOOKUP(A14,Dataset!A:V,22,0)</f>
        <v>40.1</v>
      </c>
    </row>
    <row r="15" customFormat="false" ht="13.8" hidden="false" customHeight="false" outlineLevel="0" collapsed="false">
      <c r="A15" s="29" t="s">
        <v>53</v>
      </c>
      <c r="B15" s="30" t="n">
        <f aca="false">VLOOKUP(A15,Dataset!A:G,7,0)</f>
        <v>26.8</v>
      </c>
      <c r="C15" s="30" t="n">
        <f aca="false">VLOOKUP(A15,Dataset!A10:N50,14,0)</f>
        <v>79.6</v>
      </c>
      <c r="D15" s="30" t="n">
        <f aca="false">VLOOKUP(A15,Dataset!A:R,18,0)</f>
        <v>47.9</v>
      </c>
      <c r="E15" s="30" t="n">
        <f aca="false">VLOOKUP(A15,Dataset!A:T,20,0)</f>
        <v>96.8</v>
      </c>
      <c r="F15" s="31" t="n">
        <f aca="false">VLOOKUP(A15,Dataset!A:V,22,0)</f>
        <v>47.9</v>
      </c>
    </row>
    <row r="16" customFormat="false" ht="13.8" hidden="false" customHeight="false" outlineLevel="0" collapsed="false">
      <c r="A16" s="29" t="s">
        <v>55</v>
      </c>
      <c r="B16" s="30" t="n">
        <f aca="false">VLOOKUP(A16,Dataset!A:G,7,0)</f>
        <v>28.5</v>
      </c>
      <c r="C16" s="30" t="n">
        <f aca="false">VLOOKUP(A16,Dataset!A11:N51,14,0)</f>
        <v>85.4</v>
      </c>
      <c r="D16" s="30" t="n">
        <f aca="false">VLOOKUP(A16,Dataset!A:R,18,0)</f>
        <v>52.3</v>
      </c>
      <c r="E16" s="30" t="n">
        <f aca="false">VLOOKUP(A16,Dataset!A:T,20,0)</f>
        <v>106.1</v>
      </c>
      <c r="F16" s="31" t="n">
        <f aca="false">VLOOKUP(A16,Dataset!A:V,22,0)</f>
        <v>52.3</v>
      </c>
    </row>
    <row r="17" customFormat="false" ht="13.8" hidden="false" customHeight="false" outlineLevel="0" collapsed="false">
      <c r="A17" s="29" t="s">
        <v>57</v>
      </c>
      <c r="B17" s="30" t="n">
        <f aca="false">VLOOKUP(A17,Dataset!A:G,7,0)</f>
        <v>30.7</v>
      </c>
      <c r="C17" s="30" t="n">
        <f aca="false">VLOOKUP(A17,Dataset!A12:N52,14,0)</f>
        <v>92.1</v>
      </c>
      <c r="D17" s="30" t="n">
        <f aca="false">VLOOKUP(A17,Dataset!A:R,18,0)</f>
        <v>57</v>
      </c>
      <c r="E17" s="30" t="n">
        <f aca="false">VLOOKUP(A17,Dataset!A:T,20,0)</f>
        <v>115.1</v>
      </c>
      <c r="F17" s="31" t="n">
        <f aca="false">VLOOKUP(A17,Dataset!A:V,22,0)</f>
        <v>57</v>
      </c>
    </row>
    <row r="18" customFormat="false" ht="13.8" hidden="false" customHeight="false" outlineLevel="0" collapsed="false">
      <c r="A18" s="29" t="s">
        <v>58</v>
      </c>
      <c r="B18" s="30" t="n">
        <f aca="false">VLOOKUP(A18,Dataset!A:G,7,0)</f>
        <v>33.8</v>
      </c>
      <c r="C18" s="30" t="n">
        <f aca="false">VLOOKUP(A18,Dataset!A13:N53,14,0)</f>
        <v>101.3</v>
      </c>
      <c r="D18" s="30" t="n">
        <f aca="false">VLOOKUP(A18,Dataset!A:R,18,0)</f>
        <v>61.4</v>
      </c>
      <c r="E18" s="30" t="n">
        <f aca="false">VLOOKUP(A18,Dataset!A:T,20,0)</f>
        <v>124.4</v>
      </c>
      <c r="F18" s="31" t="n">
        <f aca="false">VLOOKUP(A18,Dataset!A:V,22,0)</f>
        <v>61.4</v>
      </c>
    </row>
    <row r="19" customFormat="false" ht="13.8" hidden="false" customHeight="false" outlineLevel="0" collapsed="false">
      <c r="A19" s="29" t="s">
        <v>59</v>
      </c>
      <c r="B19" s="30" t="n">
        <f aca="false">VLOOKUP(A19,Dataset!A:G,7,0)</f>
        <v>34.7</v>
      </c>
      <c r="C19" s="30" t="n">
        <f aca="false">VLOOKUP(A19,Dataset!A14:N54,14,0)</f>
        <v>106.1</v>
      </c>
      <c r="D19" s="30" t="n">
        <f aca="false">VLOOKUP(A19,Dataset!A:R,18,0)</f>
        <v>63.6</v>
      </c>
      <c r="E19" s="30" t="n">
        <f aca="false">VLOOKUP(A19,Dataset!A:T,20,0)</f>
        <v>128.6</v>
      </c>
      <c r="F19" s="31" t="n">
        <f aca="false">VLOOKUP(A19,Dataset!A:V,22,0)</f>
        <v>63.6</v>
      </c>
    </row>
    <row r="20" customFormat="false" ht="13.8" hidden="false" customHeight="false" outlineLevel="0" collapsed="false">
      <c r="A20" s="29" t="s">
        <v>64</v>
      </c>
      <c r="B20" s="30" t="n">
        <f aca="false">VLOOKUP(A20,Dataset!A:G,7,0)</f>
        <v>0</v>
      </c>
      <c r="C20" s="30" t="n">
        <f aca="false">VLOOKUP(A20,Dataset!A15:N55,14,0)</f>
        <v>0</v>
      </c>
      <c r="D20" s="30" t="n">
        <f aca="false">VLOOKUP(A20,Dataset!A:R,18,0)</f>
        <v>0</v>
      </c>
      <c r="E20" s="30" t="n">
        <f aca="false">VLOOKUP(A20,Dataset!A:T,20,0)</f>
        <v>0</v>
      </c>
      <c r="F20" s="31" t="n">
        <f aca="false">VLOOKUP(A20,Dataset!A:V,22,0)</f>
        <v>0</v>
      </c>
    </row>
    <row r="21" customFormat="false" ht="13.8" hidden="false" customHeight="false" outlineLevel="0" collapsed="false">
      <c r="A21" s="29" t="s">
        <v>65</v>
      </c>
      <c r="B21" s="30" t="n">
        <f aca="false">VLOOKUP(A21,Dataset!A:G,7,0)</f>
        <v>41.3</v>
      </c>
      <c r="C21" s="30" t="n">
        <f aca="false">VLOOKUP(A21,Dataset!A16:N56,14,0)</f>
        <v>124.4</v>
      </c>
      <c r="D21" s="30" t="n">
        <f aca="false">VLOOKUP(A21,Dataset!A:R,18,0)</f>
        <v>75</v>
      </c>
      <c r="E21" s="30" t="n">
        <f aca="false">VLOOKUP(A21,Dataset!A:T,20,0)</f>
        <v>151.5</v>
      </c>
      <c r="F21" s="31" t="n">
        <f aca="false">VLOOKUP(A21,Dataset!A:V,22,0)</f>
        <v>75</v>
      </c>
    </row>
    <row r="22" customFormat="false" ht="13.8" hidden="false" customHeight="false" outlineLevel="0" collapsed="false">
      <c r="A22" s="29" t="s">
        <v>68</v>
      </c>
      <c r="B22" s="30" t="n">
        <f aca="false">VLOOKUP(A22,Dataset!A:G,7,0)</f>
        <v>-1</v>
      </c>
      <c r="C22" s="30" t="n">
        <f aca="false">VLOOKUP(A22,Dataset!A17:N57,14,0)</f>
        <v>-1</v>
      </c>
      <c r="D22" s="30" t="n">
        <f aca="false">VLOOKUP(A22,Dataset!A:R,18,0)</f>
        <v>-1</v>
      </c>
      <c r="E22" s="30" t="n">
        <f aca="false">VLOOKUP(A22,Dataset!A:T,20,0)</f>
        <v>-1</v>
      </c>
      <c r="F22" s="31" t="n">
        <f aca="false">VLOOKUP(A22,Dataset!A:V,22,0)</f>
        <v>-1</v>
      </c>
    </row>
    <row r="23" customFormat="false" ht="13.8" hidden="false" customHeight="false" outlineLevel="0" collapsed="false">
      <c r="A23" s="29" t="s">
        <v>69</v>
      </c>
      <c r="B23" s="30" t="n">
        <f aca="false">VLOOKUP(A23,Dataset!A:G,7,0)</f>
        <v>45</v>
      </c>
      <c r="C23" s="30" t="n">
        <f aca="false">VLOOKUP(A23,Dataset!A18:N58,14,0)</f>
        <v>133.4</v>
      </c>
      <c r="D23" s="30" t="n">
        <f aca="false">VLOOKUP(A23,Dataset!A:R,18,0)</f>
        <v>79.4</v>
      </c>
      <c r="E23" s="30" t="n">
        <f aca="false">VLOOKUP(A23,Dataset!A:T,20,0)</f>
        <v>160.9</v>
      </c>
      <c r="F23" s="31" t="n">
        <f aca="false">VLOOKUP(A23,Dataset!A:V,22,0)</f>
        <v>79.4</v>
      </c>
    </row>
    <row r="24" customFormat="false" ht="13.8" hidden="false" customHeight="false" outlineLevel="0" collapsed="false">
      <c r="A24" s="29" t="s">
        <v>70</v>
      </c>
      <c r="B24" s="30" t="n">
        <f aca="false">VLOOKUP(A24,Dataset!A:G,7,0)</f>
        <v>-1</v>
      </c>
      <c r="C24" s="30" t="n">
        <f aca="false">VLOOKUP(A24,Dataset!A19:N59,14,0)</f>
        <v>-1</v>
      </c>
      <c r="D24" s="30" t="n">
        <f aca="false">VLOOKUP(A24,Dataset!A:R,18,0)</f>
        <v>-1</v>
      </c>
      <c r="E24" s="30" t="n">
        <f aca="false">VLOOKUP(A24,Dataset!A:T,20,0)</f>
        <v>-1</v>
      </c>
      <c r="F24" s="31" t="n">
        <f aca="false">VLOOKUP(A24,Dataset!A:V,22,0)</f>
        <v>-1</v>
      </c>
    </row>
    <row r="25" customFormat="false" ht="13.8" hidden="false" customHeight="false" outlineLevel="0" collapsed="false">
      <c r="A25" s="29" t="s">
        <v>72</v>
      </c>
      <c r="B25" s="30" t="n">
        <f aca="false">VLOOKUP(A25,Dataset!A:G,7,0)</f>
        <v>43.3</v>
      </c>
      <c r="C25" s="30" t="n">
        <f aca="false">VLOOKUP(A25,Dataset!A20:N60,14,0)</f>
        <v>128.6</v>
      </c>
      <c r="D25" s="30" t="n">
        <f aca="false">VLOOKUP(A25,Dataset!A:R,18,0)</f>
        <v>79.4</v>
      </c>
      <c r="E25" s="30" t="n">
        <f aca="false">VLOOKUP(A25,Dataset!A:T,20,0)</f>
        <v>160.9</v>
      </c>
      <c r="F25" s="31" t="n">
        <f aca="false">VLOOKUP(A25,Dataset!A:V,22,0)</f>
        <v>79.4</v>
      </c>
    </row>
    <row r="26" customFormat="false" ht="13.8" hidden="false" customHeight="false" outlineLevel="0" collapsed="false">
      <c r="A26" s="29" t="s">
        <v>76</v>
      </c>
      <c r="B26" s="30" t="n">
        <f aca="false">VLOOKUP(A26,Dataset!A:G,7,0)</f>
        <v>49.1</v>
      </c>
      <c r="C26" s="30" t="n">
        <f aca="false">VLOOKUP(A26,Dataset!A21:N61,14,0)</f>
        <v>146.8</v>
      </c>
      <c r="D26" s="30" t="n">
        <f aca="false">VLOOKUP(A26,Dataset!A:R,18,0)</f>
        <v>90.9</v>
      </c>
      <c r="E26" s="30" t="n">
        <f aca="false">VLOOKUP(A26,Dataset!A:T,20,0)</f>
        <v>183.5</v>
      </c>
      <c r="F26" s="31" t="n">
        <f aca="false">VLOOKUP(A26,Dataset!A:V,22,0)</f>
        <v>90.9</v>
      </c>
    </row>
    <row r="27" customFormat="false" ht="13.8" hidden="false" customHeight="false" outlineLevel="0" collapsed="false">
      <c r="A27" s="29" t="s">
        <v>78</v>
      </c>
      <c r="B27" s="30" t="n">
        <f aca="false">VLOOKUP(A27,Dataset!A:G,7,0)</f>
        <v>51.8</v>
      </c>
      <c r="C27" s="30" t="n">
        <f aca="false">VLOOKUP(A27,Dataset!A22:N62,14,0)</f>
        <v>156.4</v>
      </c>
      <c r="D27" s="30" t="n">
        <f aca="false">VLOOKUP(A27,Dataset!A:R,18,0)</f>
        <v>93.1</v>
      </c>
      <c r="E27" s="30" t="n">
        <f aca="false">VLOOKUP(A27,Dataset!A:T,20,0)</f>
        <v>188.1</v>
      </c>
      <c r="F27" s="31" t="n">
        <f aca="false">VLOOKUP(A27,Dataset!A:V,22,0)</f>
        <v>93.1</v>
      </c>
    </row>
    <row r="28" customFormat="false" ht="15" hidden="false" customHeight="false" outlineLevel="0" collapsed="false">
      <c r="A28" s="32" t="s">
        <v>94</v>
      </c>
      <c r="B28" s="33" t="n">
        <f aca="false">MIN(B6:B27)</f>
        <v>-1</v>
      </c>
      <c r="C28" s="33" t="n">
        <f aca="false">MIN(C6:C27)</f>
        <v>-1</v>
      </c>
      <c r="D28" s="33" t="n">
        <f aca="false">MIN(D6:D27)</f>
        <v>-1</v>
      </c>
      <c r="E28" s="33" t="n">
        <f aca="false">MIN(E6:E27)</f>
        <v>-1</v>
      </c>
      <c r="F28" s="33" t="n">
        <f aca="false">MIN(F6:F27)</f>
        <v>-1</v>
      </c>
    </row>
    <row r="29" customFormat="false" ht="15" hidden="false" customHeight="false" outlineLevel="0" collapsed="false">
      <c r="A29" s="32" t="s">
        <v>95</v>
      </c>
      <c r="B29" s="33" t="n">
        <f aca="false">MAX(B6:B27)</f>
        <v>51.8</v>
      </c>
      <c r="C29" s="33" t="n">
        <f aca="false">MAX(C6:C27)</f>
        <v>156.4</v>
      </c>
      <c r="D29" s="33" t="n">
        <f aca="false">MAX(D6:D27)</f>
        <v>93.1</v>
      </c>
      <c r="E29" s="33" t="n">
        <f aca="false">MAX(E6,E27)</f>
        <v>188.1</v>
      </c>
      <c r="F29" s="33" t="n">
        <f aca="false">MAX(F6,F27)</f>
        <v>93.1</v>
      </c>
    </row>
    <row r="30" customFormat="false" ht="15" hidden="false" customHeight="false" outlineLevel="0" collapsed="false">
      <c r="A30" s="32" t="s">
        <v>96</v>
      </c>
      <c r="B30" s="33" t="n">
        <f aca="false">ROUND(AVERAGE(B6:B27),2)</f>
        <v>20.83</v>
      </c>
      <c r="C30" s="33" t="n">
        <f aca="false">ROUND(AVERAGE(C6:C27),2)</f>
        <v>62.38</v>
      </c>
      <c r="D30" s="33" t="n">
        <f aca="false">ROUND(AVERAGE(D6:D27),2)</f>
        <v>37.8</v>
      </c>
      <c r="E30" s="33" t="n">
        <f aca="false">ROUND(AVERAGE(E6:E27),2)</f>
        <v>76.42</v>
      </c>
      <c r="F30" s="33" t="n">
        <f aca="false">ROUND(AVERAGE(F6:F27),2)</f>
        <v>37.8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54"/>
  <sheetViews>
    <sheetView showFormulas="false" showGridLines="true" showRowColHeaders="true" showZeros="true" rightToLeft="false" tabSelected="false" showOutlineSymbols="true" defaultGridColor="true" view="normal" topLeftCell="A2" colorId="64" zoomScale="55" zoomScaleNormal="55" zoomScalePageLayoutView="100" workbookViewId="0">
      <selection pane="topLeft" activeCell="I23" activeCellId="0" sqref="I23"/>
    </sheetView>
  </sheetViews>
  <sheetFormatPr defaultColWidth="10.984375" defaultRowHeight="15" zeroHeight="false" outlineLevelRow="0" outlineLevelCol="0"/>
  <cols>
    <col collapsed="false" customWidth="true" hidden="false" outlineLevel="0" max="1" min="1" style="3" width="39.8"/>
    <col collapsed="false" customWidth="false" hidden="false" outlineLevel="0" max="1024" min="2" style="3" width="11.01"/>
  </cols>
  <sheetData>
    <row r="1" s="23" customFormat="true" ht="21" hidden="false" customHeight="false" outlineLevel="0" collapsed="false">
      <c r="A1" s="22" t="s">
        <v>10</v>
      </c>
      <c r="B1" s="23" t="s">
        <v>97</v>
      </c>
      <c r="C1" s="23" t="s">
        <v>98</v>
      </c>
    </row>
    <row r="2" customFormat="false" ht="12.75" hidden="false" customHeight="false" outlineLevel="0" collapsed="false"/>
    <row r="3" s="1" customFormat="true" ht="15" hidden="false" customHeight="false" outlineLevel="0" collapsed="false">
      <c r="B3" s="3"/>
    </row>
    <row r="4" s="1" customFormat="true" ht="15" hidden="false" customHeight="false" outlineLevel="0" collapsed="false">
      <c r="B4" s="3" t="s">
        <v>99</v>
      </c>
    </row>
    <row r="5" customFormat="false" ht="18.75" hidden="false" customHeight="false" outlineLevel="0" collapsed="false">
      <c r="A5" s="34" t="s">
        <v>100</v>
      </c>
      <c r="B5" s="35" t="s">
        <v>101</v>
      </c>
    </row>
    <row r="6" customFormat="false" ht="17.35" hidden="false" customHeight="false" outlineLevel="0" collapsed="false">
      <c r="A6" s="34" t="s">
        <v>102</v>
      </c>
      <c r="B6" s="35" t="s">
        <v>103</v>
      </c>
    </row>
    <row r="7" customFormat="false" ht="18.75" hidden="false" customHeight="false" outlineLevel="0" collapsed="false">
      <c r="A7" s="34"/>
      <c r="B7" s="35"/>
    </row>
    <row r="9" customFormat="false" ht="24" hidden="false" customHeight="false" outlineLevel="0" collapsed="false">
      <c r="A9" s="24" t="s">
        <v>104</v>
      </c>
      <c r="I9" s="1"/>
      <c r="J9" s="1"/>
    </row>
    <row r="10" customFormat="false" ht="15" hidden="false" customHeight="false" outlineLevel="0" collapsed="false">
      <c r="A10" s="36" t="s">
        <v>105</v>
      </c>
      <c r="B10" s="37" t="s">
        <v>106</v>
      </c>
      <c r="C10" s="37" t="s">
        <v>107</v>
      </c>
      <c r="D10" s="37" t="s">
        <v>108</v>
      </c>
      <c r="E10" s="37" t="s">
        <v>109</v>
      </c>
      <c r="F10" s="37" t="s">
        <v>110</v>
      </c>
      <c r="I10" s="1"/>
      <c r="J10" s="1"/>
    </row>
    <row r="11" customFormat="false" ht="15" hidden="false" customHeight="false" outlineLevel="0" collapsed="false">
      <c r="A11" s="38" t="s">
        <v>111</v>
      </c>
      <c r="B11" s="39" t="n">
        <v>20000</v>
      </c>
      <c r="C11" s="39" t="s">
        <v>39</v>
      </c>
      <c r="D11" s="39" t="n">
        <v>0</v>
      </c>
      <c r="E11" s="40" t="s">
        <v>40</v>
      </c>
      <c r="F11" s="40" t="n">
        <v>24</v>
      </c>
      <c r="I11" s="1"/>
      <c r="J11" s="1"/>
    </row>
    <row r="14" customFormat="false" ht="24" hidden="false" customHeight="false" outlineLevel="0" collapsed="false">
      <c r="A14" s="24" t="s">
        <v>93</v>
      </c>
    </row>
    <row r="15" customFormat="false" ht="15" hidden="false" customHeight="false" outlineLevel="0" collapsed="false">
      <c r="A15" s="41" t="s">
        <v>112</v>
      </c>
      <c r="B15" s="37" t="s">
        <v>106</v>
      </c>
      <c r="C15" s="42" t="s">
        <v>107</v>
      </c>
      <c r="D15" s="37" t="s">
        <v>108</v>
      </c>
      <c r="E15" s="42" t="s">
        <v>109</v>
      </c>
      <c r="F15" s="37" t="s">
        <v>110</v>
      </c>
    </row>
    <row r="16" customFormat="false" ht="13.8" hidden="false" customHeight="false" outlineLevel="0" collapsed="false">
      <c r="A16" s="29" t="s">
        <v>111</v>
      </c>
      <c r="B16" s="29" t="n">
        <v>20000</v>
      </c>
      <c r="C16" s="3" t="s">
        <v>39</v>
      </c>
      <c r="D16" s="30" t="n">
        <v>0</v>
      </c>
      <c r="E16" s="3" t="s">
        <v>40</v>
      </c>
      <c r="F16" s="30" t="n">
        <v>24</v>
      </c>
    </row>
    <row r="17" customFormat="false" ht="13.8" hidden="false" customHeight="false" outlineLevel="0" collapsed="false">
      <c r="A17" s="29" t="s">
        <v>113</v>
      </c>
      <c r="B17" s="29" t="n">
        <v>20002</v>
      </c>
      <c r="C17" s="3" t="s">
        <v>39</v>
      </c>
      <c r="D17" s="30" t="n">
        <v>0</v>
      </c>
      <c r="E17" s="3" t="s">
        <v>40</v>
      </c>
      <c r="F17" s="30" t="n">
        <v>24</v>
      </c>
    </row>
    <row r="18" customFormat="false" ht="13.8" hidden="false" customHeight="false" outlineLevel="0" collapsed="false">
      <c r="A18" s="29" t="s">
        <v>114</v>
      </c>
      <c r="B18" s="29" t="n">
        <v>20004</v>
      </c>
      <c r="C18" s="3" t="s">
        <v>39</v>
      </c>
      <c r="D18" s="30" t="n">
        <v>0</v>
      </c>
      <c r="E18" s="3" t="s">
        <v>40</v>
      </c>
      <c r="F18" s="30" t="n">
        <v>24</v>
      </c>
    </row>
    <row r="19" customFormat="false" ht="13.8" hidden="false" customHeight="false" outlineLevel="0" collapsed="false">
      <c r="A19" s="29" t="s">
        <v>115</v>
      </c>
      <c r="B19" s="29" t="n">
        <v>20006</v>
      </c>
      <c r="C19" s="3" t="s">
        <v>39</v>
      </c>
      <c r="D19" s="30" t="n">
        <v>0</v>
      </c>
      <c r="E19" s="3" t="s">
        <v>40</v>
      </c>
      <c r="F19" s="30" t="n">
        <v>24</v>
      </c>
    </row>
    <row r="20" customFormat="false" ht="13.8" hidden="false" customHeight="false" outlineLevel="0" collapsed="false">
      <c r="A20" s="29" t="s">
        <v>116</v>
      </c>
      <c r="B20" s="30" t="n">
        <v>20008</v>
      </c>
      <c r="C20" s="3" t="s">
        <v>39</v>
      </c>
      <c r="D20" s="30" t="n">
        <v>0</v>
      </c>
      <c r="E20" s="3" t="s">
        <v>40</v>
      </c>
      <c r="F20" s="30" t="n">
        <v>24</v>
      </c>
    </row>
    <row r="21" customFormat="false" ht="13.8" hidden="false" customHeight="false" outlineLevel="0" collapsed="false">
      <c r="A21" s="29" t="s">
        <v>117</v>
      </c>
      <c r="B21" s="30" t="n">
        <v>20010</v>
      </c>
      <c r="C21" s="3" t="s">
        <v>39</v>
      </c>
      <c r="D21" s="30" t="n">
        <v>0</v>
      </c>
      <c r="E21" s="3" t="s">
        <v>40</v>
      </c>
      <c r="F21" s="30" t="n">
        <v>24</v>
      </c>
    </row>
    <row r="22" customFormat="false" ht="13.8" hidden="false" customHeight="false" outlineLevel="0" collapsed="false">
      <c r="A22" s="29" t="s">
        <v>118</v>
      </c>
      <c r="B22" s="30" t="n">
        <v>20012</v>
      </c>
      <c r="C22" s="3" t="s">
        <v>39</v>
      </c>
      <c r="D22" s="30" t="n">
        <v>0</v>
      </c>
      <c r="E22" s="3" t="s">
        <v>40</v>
      </c>
      <c r="F22" s="30" t="n">
        <v>24</v>
      </c>
    </row>
    <row r="23" customFormat="false" ht="13.8" hidden="false" customHeight="false" outlineLevel="0" collapsed="false">
      <c r="A23" s="29" t="s">
        <v>119</v>
      </c>
      <c r="B23" s="30" t="n">
        <v>20014</v>
      </c>
      <c r="C23" s="3" t="s">
        <v>39</v>
      </c>
      <c r="D23" s="30" t="n">
        <v>0</v>
      </c>
      <c r="E23" s="3" t="s">
        <v>40</v>
      </c>
      <c r="F23" s="30" t="n">
        <v>24</v>
      </c>
    </row>
    <row r="24" customFormat="false" ht="13.8" hidden="false" customHeight="false" outlineLevel="0" collapsed="false">
      <c r="A24" s="29" t="s">
        <v>120</v>
      </c>
      <c r="B24" s="30" t="n">
        <v>20016</v>
      </c>
      <c r="C24" s="3" t="s">
        <v>39</v>
      </c>
      <c r="D24" s="30" t="n">
        <v>0</v>
      </c>
      <c r="E24" s="3" t="s">
        <v>40</v>
      </c>
      <c r="F24" s="30" t="n">
        <v>24</v>
      </c>
    </row>
    <row r="25" customFormat="false" ht="13.8" hidden="false" customHeight="false" outlineLevel="0" collapsed="false">
      <c r="A25" s="29" t="s">
        <v>121</v>
      </c>
      <c r="B25" s="30" t="n">
        <v>20018</v>
      </c>
      <c r="C25" s="3" t="s">
        <v>39</v>
      </c>
      <c r="D25" s="30" t="n">
        <v>0</v>
      </c>
      <c r="E25" s="3" t="s">
        <v>40</v>
      </c>
      <c r="F25" s="30" t="n">
        <v>24</v>
      </c>
    </row>
    <row r="26" customFormat="false" ht="13.8" hidden="false" customHeight="false" outlineLevel="0" collapsed="false">
      <c r="A26" s="29" t="s">
        <v>122</v>
      </c>
      <c r="B26" s="30" t="n">
        <v>20020</v>
      </c>
      <c r="C26" s="3" t="s">
        <v>39</v>
      </c>
      <c r="D26" s="30" t="n">
        <v>0</v>
      </c>
      <c r="E26" s="3" t="s">
        <v>40</v>
      </c>
      <c r="F26" s="30" t="n">
        <v>24</v>
      </c>
    </row>
    <row r="27" customFormat="false" ht="13.8" hidden="false" customHeight="false" outlineLevel="0" collapsed="false">
      <c r="A27" s="29" t="s">
        <v>123</v>
      </c>
      <c r="B27" s="30" t="n">
        <v>20022</v>
      </c>
      <c r="C27" s="3" t="s">
        <v>39</v>
      </c>
      <c r="D27" s="30" t="n">
        <v>0</v>
      </c>
      <c r="E27" s="3" t="s">
        <v>40</v>
      </c>
      <c r="F27" s="30" t="n">
        <v>24</v>
      </c>
    </row>
    <row r="28" customFormat="false" ht="13.8" hidden="false" customHeight="false" outlineLevel="0" collapsed="false">
      <c r="A28" s="29" t="s">
        <v>124</v>
      </c>
      <c r="B28" s="30" t="n">
        <v>20024</v>
      </c>
      <c r="C28" s="3" t="s">
        <v>39</v>
      </c>
      <c r="D28" s="30" t="n">
        <v>0</v>
      </c>
      <c r="E28" s="3" t="s">
        <v>40</v>
      </c>
      <c r="F28" s="30" t="n">
        <v>24</v>
      </c>
    </row>
    <row r="29" customFormat="false" ht="13.8" hidden="false" customHeight="false" outlineLevel="0" collapsed="false">
      <c r="A29" s="29" t="s">
        <v>125</v>
      </c>
      <c r="B29" s="30" t="n">
        <v>20026</v>
      </c>
      <c r="C29" s="3" t="s">
        <v>39</v>
      </c>
      <c r="D29" s="30" t="n">
        <v>0</v>
      </c>
      <c r="E29" s="3" t="s">
        <v>40</v>
      </c>
      <c r="F29" s="30" t="n">
        <v>24</v>
      </c>
    </row>
    <row r="30" customFormat="false" ht="13.8" hidden="false" customHeight="false" outlineLevel="0" collapsed="false">
      <c r="A30" s="29" t="s">
        <v>126</v>
      </c>
      <c r="B30" s="30" t="n">
        <v>20028</v>
      </c>
      <c r="C30" s="3" t="s">
        <v>39</v>
      </c>
      <c r="D30" s="30" t="n">
        <v>0</v>
      </c>
      <c r="E30" s="3" t="s">
        <v>40</v>
      </c>
      <c r="F30" s="30" t="n">
        <v>24</v>
      </c>
    </row>
    <row r="31" customFormat="false" ht="13.8" hidden="false" customHeight="false" outlineLevel="0" collapsed="false">
      <c r="A31" s="29" t="s">
        <v>127</v>
      </c>
      <c r="B31" s="30" t="n">
        <v>20030</v>
      </c>
      <c r="C31" s="3" t="s">
        <v>39</v>
      </c>
      <c r="D31" s="30" t="n">
        <v>0</v>
      </c>
      <c r="E31" s="3" t="s">
        <v>40</v>
      </c>
      <c r="F31" s="30" t="n">
        <v>24</v>
      </c>
    </row>
    <row r="32" customFormat="false" ht="13.8" hidden="false" customHeight="false" outlineLevel="0" collapsed="false">
      <c r="A32" s="29" t="s">
        <v>128</v>
      </c>
      <c r="B32" s="30" t="n">
        <v>20032</v>
      </c>
      <c r="C32" s="3" t="s">
        <v>39</v>
      </c>
      <c r="D32" s="30" t="n">
        <v>0</v>
      </c>
      <c r="E32" s="3" t="s">
        <v>40</v>
      </c>
      <c r="F32" s="30" t="n">
        <v>24</v>
      </c>
    </row>
    <row r="33" customFormat="false" ht="13.8" hidden="false" customHeight="false" outlineLevel="0" collapsed="false">
      <c r="A33" s="29" t="s">
        <v>129</v>
      </c>
      <c r="B33" s="30" t="n">
        <v>20034</v>
      </c>
      <c r="C33" s="3" t="s">
        <v>39</v>
      </c>
      <c r="D33" s="30" t="n">
        <v>0</v>
      </c>
      <c r="E33" s="3" t="s">
        <v>40</v>
      </c>
      <c r="F33" s="30" t="n">
        <v>24</v>
      </c>
    </row>
    <row r="34" customFormat="false" ht="13.8" hidden="false" customHeight="false" outlineLevel="0" collapsed="false">
      <c r="A34" s="29" t="s">
        <v>130</v>
      </c>
      <c r="B34" s="30" t="n">
        <v>20036</v>
      </c>
      <c r="C34" s="3" t="s">
        <v>39</v>
      </c>
      <c r="D34" s="30" t="n">
        <v>0</v>
      </c>
      <c r="E34" s="3" t="s">
        <v>40</v>
      </c>
      <c r="F34" s="30" t="n">
        <v>24</v>
      </c>
    </row>
    <row r="35" customFormat="false" ht="13.8" hidden="false" customHeight="false" outlineLevel="0" collapsed="false">
      <c r="A35" s="29" t="s">
        <v>131</v>
      </c>
      <c r="B35" s="30" t="n">
        <v>20038</v>
      </c>
      <c r="C35" s="3" t="s">
        <v>39</v>
      </c>
      <c r="D35" s="30" t="n">
        <v>0</v>
      </c>
      <c r="E35" s="3" t="s">
        <v>40</v>
      </c>
      <c r="F35" s="30" t="n">
        <v>24</v>
      </c>
    </row>
    <row r="36" customFormat="false" ht="13.8" hidden="false" customHeight="false" outlineLevel="0" collapsed="false">
      <c r="A36" s="29" t="s">
        <v>132</v>
      </c>
      <c r="B36" s="30" t="n">
        <v>20040</v>
      </c>
      <c r="C36" s="3" t="s">
        <v>39</v>
      </c>
      <c r="D36" s="30" t="n">
        <v>0</v>
      </c>
      <c r="E36" s="3" t="s">
        <v>40</v>
      </c>
      <c r="F36" s="30" t="n">
        <v>24</v>
      </c>
    </row>
    <row r="37" customFormat="false" ht="13.8" hidden="false" customHeight="false" outlineLevel="0" collapsed="false">
      <c r="A37" s="29" t="s">
        <v>133</v>
      </c>
      <c r="B37" s="30" t="n">
        <v>20042</v>
      </c>
      <c r="C37" s="3" t="s">
        <v>39</v>
      </c>
      <c r="D37" s="30" t="n">
        <v>0</v>
      </c>
      <c r="E37" s="3" t="s">
        <v>40</v>
      </c>
      <c r="F37" s="30" t="n">
        <v>24</v>
      </c>
    </row>
    <row r="38" customFormat="false" ht="13.8" hidden="false" customHeight="false" outlineLevel="0" collapsed="false">
      <c r="A38" s="29" t="s">
        <v>134</v>
      </c>
      <c r="B38" s="30" t="n">
        <v>20044</v>
      </c>
      <c r="C38" s="3" t="s">
        <v>39</v>
      </c>
      <c r="D38" s="30" t="n">
        <v>0</v>
      </c>
      <c r="E38" s="3" t="s">
        <v>40</v>
      </c>
      <c r="F38" s="30" t="n">
        <v>24</v>
      </c>
    </row>
    <row r="39" customFormat="false" ht="13.8" hidden="false" customHeight="false" outlineLevel="0" collapsed="false">
      <c r="A39" s="29" t="s">
        <v>135</v>
      </c>
      <c r="B39" s="30" t="n">
        <v>20046</v>
      </c>
      <c r="C39" s="3" t="s">
        <v>39</v>
      </c>
      <c r="D39" s="30" t="n">
        <v>0</v>
      </c>
      <c r="E39" s="3" t="s">
        <v>40</v>
      </c>
      <c r="F39" s="30" t="n">
        <v>24</v>
      </c>
    </row>
    <row r="40" customFormat="false" ht="13.8" hidden="false" customHeight="false" outlineLevel="0" collapsed="false">
      <c r="A40" s="29" t="s">
        <v>136</v>
      </c>
      <c r="B40" s="30" t="n">
        <v>20048</v>
      </c>
      <c r="C40" s="3" t="s">
        <v>39</v>
      </c>
      <c r="D40" s="30" t="n">
        <v>0</v>
      </c>
      <c r="E40" s="3" t="s">
        <v>40</v>
      </c>
      <c r="F40" s="30" t="n">
        <v>24</v>
      </c>
    </row>
    <row r="41" customFormat="false" ht="13.8" hidden="false" customHeight="false" outlineLevel="0" collapsed="false">
      <c r="A41" s="29" t="s">
        <v>137</v>
      </c>
      <c r="B41" s="30" t="n">
        <v>20050</v>
      </c>
      <c r="C41" s="3" t="s">
        <v>39</v>
      </c>
      <c r="D41" s="30" t="n">
        <v>0</v>
      </c>
      <c r="E41" s="3" t="s">
        <v>40</v>
      </c>
      <c r="F41" s="30" t="n">
        <v>24</v>
      </c>
    </row>
    <row r="42" customFormat="false" ht="13.8" hidden="false" customHeight="false" outlineLevel="0" collapsed="false">
      <c r="A42" s="29" t="s">
        <v>138</v>
      </c>
      <c r="B42" s="30" t="n">
        <v>20052</v>
      </c>
      <c r="C42" s="3" t="s">
        <v>39</v>
      </c>
      <c r="D42" s="30" t="n">
        <v>0</v>
      </c>
      <c r="E42" s="3" t="s">
        <v>40</v>
      </c>
      <c r="F42" s="30" t="n">
        <v>24</v>
      </c>
    </row>
    <row r="43" customFormat="false" ht="13.8" hidden="false" customHeight="false" outlineLevel="0" collapsed="false">
      <c r="A43" s="29" t="s">
        <v>139</v>
      </c>
      <c r="B43" s="30" t="n">
        <v>20054</v>
      </c>
      <c r="C43" s="3" t="s">
        <v>39</v>
      </c>
      <c r="D43" s="30" t="n">
        <v>0</v>
      </c>
      <c r="E43" s="3" t="s">
        <v>40</v>
      </c>
      <c r="F43" s="30" t="n">
        <v>24</v>
      </c>
    </row>
    <row r="44" customFormat="false" ht="13.8" hidden="false" customHeight="false" outlineLevel="0" collapsed="false">
      <c r="A44" s="29" t="s">
        <v>140</v>
      </c>
      <c r="B44" s="30" t="n">
        <v>20058</v>
      </c>
      <c r="C44" s="3" t="s">
        <v>39</v>
      </c>
      <c r="D44" s="30" t="n">
        <v>0</v>
      </c>
      <c r="E44" s="3" t="s">
        <v>40</v>
      </c>
      <c r="F44" s="30" t="n">
        <v>24</v>
      </c>
    </row>
    <row r="45" customFormat="false" ht="13.8" hidden="false" customHeight="false" outlineLevel="0" collapsed="false">
      <c r="A45" s="29" t="s">
        <v>141</v>
      </c>
      <c r="B45" s="30" t="n">
        <v>20060</v>
      </c>
      <c r="C45" s="3" t="s">
        <v>39</v>
      </c>
      <c r="D45" s="30" t="n">
        <v>0</v>
      </c>
      <c r="E45" s="3" t="s">
        <v>40</v>
      </c>
      <c r="F45" s="30" t="n">
        <v>24</v>
      </c>
    </row>
    <row r="46" customFormat="false" ht="13.8" hidden="false" customHeight="false" outlineLevel="0" collapsed="false">
      <c r="A46" s="29" t="s">
        <v>142</v>
      </c>
      <c r="B46" s="30" t="n">
        <v>21000</v>
      </c>
      <c r="C46" s="3" t="s">
        <v>39</v>
      </c>
      <c r="D46" s="30" t="n">
        <v>0</v>
      </c>
      <c r="E46" s="3" t="s">
        <v>40</v>
      </c>
      <c r="F46" s="30" t="n">
        <v>24</v>
      </c>
    </row>
    <row r="47" customFormat="false" ht="13.8" hidden="false" customHeight="false" outlineLevel="0" collapsed="false">
      <c r="A47" s="29" t="s">
        <v>143</v>
      </c>
      <c r="B47" s="30" t="n">
        <v>21002</v>
      </c>
      <c r="C47" s="3" t="s">
        <v>39</v>
      </c>
      <c r="D47" s="30" t="n">
        <v>0</v>
      </c>
      <c r="E47" s="3" t="s">
        <v>40</v>
      </c>
      <c r="F47" s="30" t="n">
        <v>24</v>
      </c>
    </row>
    <row r="48" customFormat="false" ht="13.8" hidden="false" customHeight="false" outlineLevel="0" collapsed="false">
      <c r="A48" s="29" t="s">
        <v>144</v>
      </c>
      <c r="B48" s="30" t="n">
        <v>21004</v>
      </c>
      <c r="C48" s="3" t="s">
        <v>39</v>
      </c>
      <c r="D48" s="30" t="n">
        <v>0</v>
      </c>
      <c r="E48" s="3" t="s">
        <v>40</v>
      </c>
      <c r="F48" s="30" t="n">
        <v>24</v>
      </c>
    </row>
    <row r="49" customFormat="false" ht="13.8" hidden="false" customHeight="false" outlineLevel="0" collapsed="false">
      <c r="A49" s="29" t="s">
        <v>145</v>
      </c>
      <c r="B49" s="30" t="n">
        <v>21006</v>
      </c>
      <c r="C49" s="3" t="s">
        <v>39</v>
      </c>
      <c r="D49" s="30" t="n">
        <v>0</v>
      </c>
      <c r="E49" s="3" t="s">
        <v>40</v>
      </c>
      <c r="F49" s="30" t="n">
        <v>24</v>
      </c>
    </row>
    <row r="50" customFormat="false" ht="13.8" hidden="false" customHeight="false" outlineLevel="0" collapsed="false">
      <c r="A50" s="29" t="s">
        <v>146</v>
      </c>
      <c r="B50" s="30" t="n">
        <v>21008</v>
      </c>
      <c r="C50" s="3" t="s">
        <v>39</v>
      </c>
      <c r="D50" s="30" t="n">
        <v>0</v>
      </c>
      <c r="E50" s="3" t="s">
        <v>40</v>
      </c>
      <c r="F50" s="30" t="n">
        <v>24</v>
      </c>
    </row>
    <row r="51" customFormat="false" ht="13.8" hidden="false" customHeight="false" outlineLevel="0" collapsed="false">
      <c r="A51" s="29" t="s">
        <v>147</v>
      </c>
      <c r="B51" s="30" t="n">
        <v>21010</v>
      </c>
      <c r="C51" s="3" t="s">
        <v>39</v>
      </c>
      <c r="D51" s="30" t="n">
        <v>0</v>
      </c>
      <c r="E51" s="3" t="s">
        <v>40</v>
      </c>
      <c r="F51" s="30" t="n">
        <v>24</v>
      </c>
    </row>
    <row r="52" customFormat="false" ht="13.8" hidden="false" customHeight="false" outlineLevel="0" collapsed="false">
      <c r="A52" s="29" t="s">
        <v>148</v>
      </c>
      <c r="B52" s="30" t="n">
        <v>21012</v>
      </c>
      <c r="C52" s="3" t="s">
        <v>39</v>
      </c>
      <c r="D52" s="30" t="n">
        <v>0</v>
      </c>
      <c r="E52" s="3" t="s">
        <v>40</v>
      </c>
      <c r="F52" s="30" t="n">
        <v>24</v>
      </c>
    </row>
    <row r="53" customFormat="false" ht="13.8" hidden="false" customHeight="false" outlineLevel="0" collapsed="false">
      <c r="A53" s="29" t="s">
        <v>149</v>
      </c>
      <c r="B53" s="30" t="n">
        <v>21014</v>
      </c>
      <c r="C53" s="3" t="s">
        <v>39</v>
      </c>
      <c r="D53" s="30" t="n">
        <v>0</v>
      </c>
      <c r="E53" s="3" t="s">
        <v>40</v>
      </c>
      <c r="F53" s="30" t="n">
        <v>24</v>
      </c>
    </row>
    <row r="54" customFormat="false" ht="13.8" hidden="false" customHeight="false" outlineLevel="0" collapsed="false">
      <c r="A54" s="38" t="s">
        <v>150</v>
      </c>
      <c r="B54" s="30" t="n">
        <v>21016</v>
      </c>
      <c r="C54" s="43" t="s">
        <v>39</v>
      </c>
      <c r="D54" s="39" t="n">
        <v>0</v>
      </c>
      <c r="E54" s="43" t="s">
        <v>40</v>
      </c>
      <c r="F54" s="39" t="n">
        <v>24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D22"/>
  <sheetViews>
    <sheetView showFormulas="false" showGridLines="true" showRowColHeaders="true" showZeros="true" rightToLeft="false" tabSelected="false" showOutlineSymbols="true" defaultGridColor="true" view="normal" topLeftCell="A1" colorId="64" zoomScale="55" zoomScaleNormal="55" zoomScalePageLayoutView="100" workbookViewId="0">
      <selection pane="topLeft" activeCell="F12" activeCellId="0" sqref="F12"/>
    </sheetView>
  </sheetViews>
  <sheetFormatPr defaultColWidth="10.984375" defaultRowHeight="13.5" zeroHeight="false" outlineLevelRow="0" outlineLevelCol="0"/>
  <cols>
    <col collapsed="false" customWidth="true" hidden="false" outlineLevel="0" max="1" min="1" style="1" width="28.2"/>
    <col collapsed="false" customWidth="true" hidden="false" outlineLevel="0" max="2" min="2" style="1" width="17.8"/>
    <col collapsed="false" customWidth="false" hidden="false" outlineLevel="0" max="3" min="3" style="1" width="11.01"/>
    <col collapsed="false" customWidth="true" hidden="false" outlineLevel="0" max="4" min="4" style="1" width="13.2"/>
    <col collapsed="false" customWidth="true" hidden="false" outlineLevel="0" max="5" min="5" style="1" width="10.8"/>
    <col collapsed="false" customWidth="true" hidden="false" outlineLevel="0" max="6" min="6" style="1" width="13.4"/>
    <col collapsed="false" customWidth="true" hidden="false" outlineLevel="0" max="8" min="7" style="1" width="14.59"/>
    <col collapsed="false" customWidth="true" hidden="false" outlineLevel="0" max="9" min="9" style="1" width="17.8"/>
    <col collapsed="false" customWidth="false" hidden="false" outlineLevel="0" max="10" min="10" style="1" width="11.01"/>
    <col collapsed="false" customWidth="true" hidden="false" outlineLevel="0" max="11" min="11" style="1" width="9"/>
    <col collapsed="false" customWidth="true" hidden="false" outlineLevel="0" max="12" min="12" style="1" width="10.8"/>
    <col collapsed="false" customWidth="true" hidden="false" outlineLevel="0" max="13" min="13" style="1" width="12.4"/>
    <col collapsed="false" customWidth="false" hidden="false" outlineLevel="0" max="14" min="14" style="1" width="11.01"/>
    <col collapsed="false" customWidth="true" hidden="false" outlineLevel="0" max="15" min="15" style="1" width="8"/>
    <col collapsed="false" customWidth="true" hidden="false" outlineLevel="0" max="16" min="16" style="1" width="12.4"/>
    <col collapsed="false" customWidth="true" hidden="false" outlineLevel="0" max="17" min="17" style="1" width="12.6"/>
    <col collapsed="false" customWidth="true" hidden="false" outlineLevel="0" max="18" min="18" style="1" width="24.2"/>
    <col collapsed="false" customWidth="true" hidden="false" outlineLevel="0" max="19" min="19" style="1" width="12.6"/>
    <col collapsed="false" customWidth="true" hidden="false" outlineLevel="0" max="20" min="20" style="1" width="15.99"/>
    <col collapsed="false" customWidth="true" hidden="false" outlineLevel="0" max="21" min="21" style="1" width="9"/>
    <col collapsed="false" customWidth="true" hidden="false" outlineLevel="0" max="22" min="22" style="1" width="10.8"/>
    <col collapsed="false" customWidth="true" hidden="false" outlineLevel="0" max="24" min="23" style="1" width="13.4"/>
    <col collapsed="false" customWidth="true" hidden="false" outlineLevel="0" max="25" min="25" style="1" width="15.01"/>
    <col collapsed="false" customWidth="false" hidden="false" outlineLevel="0" max="1024" min="26" style="1" width="11.01"/>
  </cols>
  <sheetData>
    <row r="1" customFormat="false" ht="21" hidden="false" customHeight="false" outlineLevel="0" collapsed="false">
      <c r="A1" s="22" t="s">
        <v>11</v>
      </c>
      <c r="B1" s="23" t="s">
        <v>151</v>
      </c>
    </row>
    <row r="2" customFormat="false" ht="18.75" hidden="false" customHeight="false" outlineLevel="0" collapsed="false">
      <c r="B2" s="35" t="s">
        <v>152</v>
      </c>
    </row>
    <row r="5" customFormat="false" ht="15" hidden="false" customHeight="false" outlineLevel="0" collapsed="false">
      <c r="B5" s="3" t="s">
        <v>153</v>
      </c>
    </row>
    <row r="6" customFormat="false" ht="13.8" hidden="false" customHeight="false" outlineLevel="0" collapsed="false">
      <c r="A6" s="12" t="s">
        <v>100</v>
      </c>
      <c r="B6" s="3" t="s">
        <v>154</v>
      </c>
    </row>
    <row r="7" customFormat="false" ht="24.95" hidden="false" customHeight="false" outlineLevel="0" collapsed="false">
      <c r="A7" s="12" t="s">
        <v>102</v>
      </c>
      <c r="B7" s="3" t="s">
        <v>155</v>
      </c>
    </row>
    <row r="10" customFormat="false" ht="24" hidden="false" customHeight="false" outlineLevel="0" collapsed="false">
      <c r="A10" s="24" t="s">
        <v>93</v>
      </c>
    </row>
    <row r="11" customFormat="false" ht="13.8" hidden="false" customHeight="false" outlineLevel="0" collapsed="false">
      <c r="A11" s="44" t="s">
        <v>156</v>
      </c>
      <c r="B11" s="37" t="s">
        <v>157</v>
      </c>
      <c r="C11" s="37" t="s">
        <v>158</v>
      </c>
      <c r="D11" s="45" t="s">
        <v>159</v>
      </c>
    </row>
    <row r="12" customFormat="false" ht="13.8" hidden="false" customHeight="false" outlineLevel="0" collapsed="false">
      <c r="A12" s="44" t="n">
        <v>44927</v>
      </c>
      <c r="B12" s="37" t="s">
        <v>160</v>
      </c>
      <c r="C12" s="37" t="n">
        <v>200</v>
      </c>
      <c r="D12" s="45" t="n">
        <f aca="false">IFERROR(VLOOKUP(B12, B11:C22, 2, 0), 20)</f>
        <v>200</v>
      </c>
    </row>
    <row r="13" customFormat="false" ht="13.8" hidden="false" customHeight="false" outlineLevel="0" collapsed="false">
      <c r="A13" s="44" t="n">
        <v>44928</v>
      </c>
      <c r="B13" s="37" t="s">
        <v>161</v>
      </c>
      <c r="C13" s="37" t="e">
        <f aca="false">#N/A</f>
        <v>#N/A</v>
      </c>
      <c r="D13" s="45" t="n">
        <f aca="false">IFERROR(VLOOKUP(B13, B12:C23, 2, 0), 20)</f>
        <v>20</v>
      </c>
    </row>
    <row r="14" customFormat="false" ht="13.8" hidden="false" customHeight="false" outlineLevel="0" collapsed="false">
      <c r="A14" s="44" t="n">
        <v>44929</v>
      </c>
      <c r="B14" s="37" t="s">
        <v>162</v>
      </c>
      <c r="C14" s="37" t="n">
        <v>50</v>
      </c>
      <c r="D14" s="45" t="n">
        <f aca="false">IFERROR(VLOOKUP(B14, B13:C24, 2, 0), 20)</f>
        <v>50</v>
      </c>
    </row>
    <row r="15" customFormat="false" ht="13.8" hidden="false" customHeight="false" outlineLevel="0" collapsed="false">
      <c r="A15" s="44" t="n">
        <v>44930</v>
      </c>
      <c r="B15" s="37" t="s">
        <v>163</v>
      </c>
      <c r="C15" s="37" t="e">
        <f aca="false">#N/A</f>
        <v>#N/A</v>
      </c>
      <c r="D15" s="45" t="n">
        <f aca="false">IFERROR(VLOOKUP(B15, B14:C25, 2, 0), 20)</f>
        <v>20</v>
      </c>
    </row>
    <row r="16" customFormat="false" ht="13.8" hidden="false" customHeight="false" outlineLevel="0" collapsed="false">
      <c r="A16" s="44" t="n">
        <v>44931</v>
      </c>
      <c r="B16" s="37" t="s">
        <v>164</v>
      </c>
      <c r="C16" s="37" t="n">
        <v>10</v>
      </c>
      <c r="D16" s="45" t="n">
        <f aca="false">IFERROR(VLOOKUP(B16, B15:C26, 2, 0), 20)</f>
        <v>10</v>
      </c>
    </row>
    <row r="17" customFormat="false" ht="13.8" hidden="false" customHeight="false" outlineLevel="0" collapsed="false">
      <c r="A17" s="44" t="n">
        <v>44932</v>
      </c>
      <c r="B17" s="37" t="s">
        <v>165</v>
      </c>
      <c r="C17" s="37" t="n">
        <v>150</v>
      </c>
      <c r="D17" s="45" t="n">
        <f aca="false">IFERROR(VLOOKUP(B17, B16:C27, 2, 0), 20)</f>
        <v>150</v>
      </c>
    </row>
    <row r="18" customFormat="false" ht="13.8" hidden="false" customHeight="false" outlineLevel="0" collapsed="false">
      <c r="A18" s="44" t="n">
        <v>44933</v>
      </c>
      <c r="B18" s="37" t="s">
        <v>166</v>
      </c>
      <c r="C18" s="37" t="n">
        <v>80</v>
      </c>
      <c r="D18" s="45" t="n">
        <f aca="false">IFERROR(VLOOKUP(B18, B17:C28, 2, 0), 20)</f>
        <v>80</v>
      </c>
    </row>
    <row r="19" customFormat="false" ht="13.8" hidden="false" customHeight="false" outlineLevel="0" collapsed="false">
      <c r="A19" s="44" t="n">
        <v>44934</v>
      </c>
      <c r="B19" s="37" t="s">
        <v>167</v>
      </c>
      <c r="C19" s="37" t="e">
        <f aca="false">#N/A</f>
        <v>#N/A</v>
      </c>
      <c r="D19" s="45" t="n">
        <f aca="false">IFERROR(VLOOKUP(B19, B18:C29, 2, 0), 20)</f>
        <v>20</v>
      </c>
    </row>
    <row r="20" customFormat="false" ht="13.8" hidden="false" customHeight="false" outlineLevel="0" collapsed="false">
      <c r="A20" s="44" t="n">
        <v>44935</v>
      </c>
      <c r="B20" s="37" t="s">
        <v>168</v>
      </c>
      <c r="C20" s="37" t="n">
        <v>30</v>
      </c>
      <c r="D20" s="45" t="n">
        <f aca="false">IFERROR(VLOOKUP(B20, B19:C30, 2, 0), 20)</f>
        <v>30</v>
      </c>
    </row>
    <row r="21" customFormat="false" ht="13.8" hidden="false" customHeight="false" outlineLevel="0" collapsed="false">
      <c r="A21" s="44" t="n">
        <v>44936</v>
      </c>
      <c r="B21" s="37" t="s">
        <v>169</v>
      </c>
      <c r="C21" s="37" t="e">
        <f aca="false">#N/A</f>
        <v>#N/A</v>
      </c>
      <c r="D21" s="45" t="n">
        <f aca="false">IFERROR(VLOOKUP(B21, B20:C31, 2, 0), 20)</f>
        <v>20</v>
      </c>
    </row>
    <row r="22" customFormat="false" ht="15" hidden="false" customHeight="false" outlineLevel="0" collapsed="false">
      <c r="B22" s="37" t="s">
        <v>170</v>
      </c>
      <c r="C22" s="46" t="n">
        <f aca="false">SUM(D12:D21)</f>
        <v>600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N35"/>
  <sheetViews>
    <sheetView showFormulas="false" showGridLines="true" showRowColHeaders="true" showZeros="true" rightToLeft="false" tabSelected="true" showOutlineSymbols="true" defaultGridColor="true" view="normal" topLeftCell="A1" colorId="64" zoomScale="55" zoomScaleNormal="55" zoomScalePageLayoutView="100" workbookViewId="0">
      <selection pane="topLeft" activeCell="F23" activeCellId="0" sqref="F23"/>
    </sheetView>
  </sheetViews>
  <sheetFormatPr defaultColWidth="10.984375" defaultRowHeight="13.5" zeroHeight="false" outlineLevelRow="0" outlineLevelCol="0"/>
  <cols>
    <col collapsed="false" customWidth="true" hidden="false" outlineLevel="0" max="1" min="1" style="1" width="28.2"/>
    <col collapsed="false" customWidth="false" hidden="false" outlineLevel="0" max="2" min="2" style="1" width="11.01"/>
    <col collapsed="false" customWidth="true" hidden="false" outlineLevel="0" max="3" min="3" style="1" width="18.83"/>
    <col collapsed="false" customWidth="false" hidden="false" outlineLevel="0" max="5" min="4" style="1" width="11.01"/>
    <col collapsed="false" customWidth="true" hidden="false" outlineLevel="0" max="6" min="6" style="1" width="73.95"/>
    <col collapsed="false" customWidth="false" hidden="false" outlineLevel="0" max="1024" min="7" style="1" width="11.01"/>
  </cols>
  <sheetData>
    <row r="1" customFormat="false" ht="21" hidden="false" customHeight="false" outlineLevel="0" collapsed="false">
      <c r="A1" s="22" t="s">
        <v>12</v>
      </c>
      <c r="B1" s="23" t="s">
        <v>171</v>
      </c>
    </row>
    <row r="3" customFormat="false" ht="15" hidden="false" customHeight="false" outlineLevel="0" collapsed="false">
      <c r="B3" s="3" t="s">
        <v>153</v>
      </c>
    </row>
    <row r="4" customFormat="false" ht="18.75" hidden="false" customHeight="false" outlineLevel="0" collapsed="false">
      <c r="A4" s="34" t="s">
        <v>100</v>
      </c>
      <c r="B4" s="3"/>
      <c r="C4" s="1" t="s">
        <v>172</v>
      </c>
    </row>
    <row r="5" customFormat="false" ht="18.75" hidden="false" customHeight="false" outlineLevel="0" collapsed="false">
      <c r="A5" s="34" t="s">
        <v>102</v>
      </c>
      <c r="B5" s="3"/>
      <c r="C5" s="1" t="s">
        <v>173</v>
      </c>
    </row>
    <row r="6" customFormat="false" ht="15" hidden="false" customHeight="false" outlineLevel="0" collapsed="false">
      <c r="A6" s="12"/>
      <c r="B6" s="3"/>
    </row>
    <row r="8" customFormat="false" ht="24" hidden="false" customHeight="false" outlineLevel="0" collapsed="false">
      <c r="A8" s="24" t="s">
        <v>93</v>
      </c>
      <c r="M8" s="24" t="s">
        <v>174</v>
      </c>
    </row>
    <row r="9" customFormat="false" ht="15" hidden="false" customHeight="false" outlineLevel="0" collapsed="false">
      <c r="A9" s="5"/>
      <c r="B9" s="5" t="s">
        <v>175</v>
      </c>
      <c r="C9" s="5" t="s">
        <v>176</v>
      </c>
      <c r="D9" s="5" t="s">
        <v>177</v>
      </c>
      <c r="E9" s="5" t="s">
        <v>178</v>
      </c>
      <c r="F9" s="5" t="s">
        <v>179</v>
      </c>
      <c r="G9" s="5" t="s">
        <v>180</v>
      </c>
      <c r="H9" s="5" t="s">
        <v>181</v>
      </c>
      <c r="I9" s="5" t="s">
        <v>182</v>
      </c>
      <c r="J9" s="5" t="s">
        <v>183</v>
      </c>
      <c r="M9" s="32" t="s">
        <v>15</v>
      </c>
      <c r="N9" s="32" t="s">
        <v>184</v>
      </c>
    </row>
    <row r="10" customFormat="false" ht="15" hidden="false" customHeight="false" outlineLevel="0" collapsed="false">
      <c r="A10" s="5" t="s">
        <v>175</v>
      </c>
      <c r="B10" s="9" t="n">
        <v>-1</v>
      </c>
      <c r="C10" s="9" t="n">
        <v>95</v>
      </c>
      <c r="D10" s="9" t="n">
        <v>-1</v>
      </c>
      <c r="E10" s="9" t="n">
        <v>185</v>
      </c>
      <c r="F10" s="9" t="n">
        <v>255</v>
      </c>
      <c r="G10" s="9" t="n">
        <v>305</v>
      </c>
      <c r="H10" s="9" t="n">
        <v>415</v>
      </c>
      <c r="I10" s="9" t="n">
        <v>480</v>
      </c>
      <c r="J10" s="9" t="n">
        <v>525</v>
      </c>
      <c r="M10" s="30" t="n">
        <v>10100</v>
      </c>
      <c r="N10" s="30" t="s">
        <v>175</v>
      </c>
    </row>
    <row r="11" customFormat="false" ht="15" hidden="false" customHeight="false" outlineLevel="0" collapsed="false">
      <c r="A11" s="5" t="s">
        <v>176</v>
      </c>
      <c r="B11" s="9" t="n">
        <v>95</v>
      </c>
      <c r="C11" s="9" t="n">
        <v>-1</v>
      </c>
      <c r="D11" s="9" t="n">
        <v>-1</v>
      </c>
      <c r="E11" s="9" t="n">
        <v>90</v>
      </c>
      <c r="F11" s="9" t="n">
        <v>160</v>
      </c>
      <c r="G11" s="9" t="n">
        <v>210</v>
      </c>
      <c r="H11" s="9" t="n">
        <v>325</v>
      </c>
      <c r="I11" s="9" t="n">
        <v>390</v>
      </c>
      <c r="J11" s="9" t="n">
        <v>430</v>
      </c>
      <c r="M11" s="30" t="n">
        <v>10102</v>
      </c>
      <c r="N11" s="30" t="s">
        <v>176</v>
      </c>
    </row>
    <row r="12" customFormat="false" ht="15" hidden="false" customHeight="false" outlineLevel="0" collapsed="false">
      <c r="A12" s="5" t="s">
        <v>177</v>
      </c>
      <c r="B12" s="9" t="n">
        <v>-1</v>
      </c>
      <c r="C12" s="9" t="n">
        <v>-1</v>
      </c>
      <c r="D12" s="9" t="n">
        <v>-1</v>
      </c>
      <c r="E12" s="9" t="n">
        <v>60</v>
      </c>
      <c r="F12" s="9" t="n">
        <v>130</v>
      </c>
      <c r="G12" s="9" t="n">
        <v>180</v>
      </c>
      <c r="H12" s="9" t="n">
        <v>295</v>
      </c>
      <c r="I12" s="9" t="n">
        <v>355</v>
      </c>
      <c r="J12" s="9" t="n">
        <v>400</v>
      </c>
      <c r="M12" s="30" t="n">
        <v>10104</v>
      </c>
      <c r="N12" s="30" t="s">
        <v>177</v>
      </c>
    </row>
    <row r="13" customFormat="false" ht="15" hidden="false" customHeight="false" outlineLevel="0" collapsed="false">
      <c r="A13" s="5" t="s">
        <v>178</v>
      </c>
      <c r="B13" s="9" t="n">
        <v>185</v>
      </c>
      <c r="C13" s="9" t="n">
        <v>90</v>
      </c>
      <c r="D13" s="9" t="n">
        <v>60</v>
      </c>
      <c r="E13" s="9" t="n">
        <v>-1</v>
      </c>
      <c r="F13" s="9" t="n">
        <v>70</v>
      </c>
      <c r="G13" s="9" t="n">
        <v>120</v>
      </c>
      <c r="H13" s="9" t="n">
        <v>235</v>
      </c>
      <c r="I13" s="9" t="n">
        <v>300</v>
      </c>
      <c r="J13" s="9" t="n">
        <v>340</v>
      </c>
      <c r="M13" s="30" t="n">
        <v>10106</v>
      </c>
      <c r="N13" s="30" t="s">
        <v>178</v>
      </c>
    </row>
    <row r="14" customFormat="false" ht="15" hidden="false" customHeight="false" outlineLevel="0" collapsed="false">
      <c r="A14" s="5" t="s">
        <v>179</v>
      </c>
      <c r="B14" s="9" t="n">
        <v>255</v>
      </c>
      <c r="C14" s="9" t="n">
        <v>160</v>
      </c>
      <c r="D14" s="9" t="n">
        <v>130</v>
      </c>
      <c r="E14" s="9" t="n">
        <v>70</v>
      </c>
      <c r="F14" s="9" t="n">
        <v>-1</v>
      </c>
      <c r="G14" s="9" t="n">
        <v>50</v>
      </c>
      <c r="H14" s="9" t="n">
        <v>165</v>
      </c>
      <c r="I14" s="9" t="n">
        <v>230</v>
      </c>
      <c r="J14" s="9" t="n">
        <v>270</v>
      </c>
      <c r="M14" s="30" t="n">
        <v>10108</v>
      </c>
      <c r="N14" s="30" t="s">
        <v>179</v>
      </c>
    </row>
    <row r="15" customFormat="false" ht="15" hidden="false" customHeight="false" outlineLevel="0" collapsed="false">
      <c r="A15" s="5" t="s">
        <v>180</v>
      </c>
      <c r="B15" s="9" t="n">
        <v>305</v>
      </c>
      <c r="C15" s="9" t="n">
        <v>210</v>
      </c>
      <c r="D15" s="9" t="n">
        <v>180</v>
      </c>
      <c r="E15" s="9" t="n">
        <v>120</v>
      </c>
      <c r="F15" s="9" t="n">
        <v>50</v>
      </c>
      <c r="G15" s="9" t="n">
        <v>-1</v>
      </c>
      <c r="H15" s="9" t="n">
        <v>115</v>
      </c>
      <c r="I15" s="9" t="n">
        <v>180</v>
      </c>
      <c r="J15" s="9" t="n">
        <v>220</v>
      </c>
      <c r="M15" s="30" t="n">
        <v>10110</v>
      </c>
      <c r="N15" s="30" t="s">
        <v>180</v>
      </c>
    </row>
    <row r="16" customFormat="false" ht="15" hidden="false" customHeight="false" outlineLevel="0" collapsed="false">
      <c r="A16" s="5" t="s">
        <v>181</v>
      </c>
      <c r="B16" s="9" t="n">
        <v>415</v>
      </c>
      <c r="C16" s="9" t="n">
        <v>325</v>
      </c>
      <c r="D16" s="9" t="n">
        <v>295</v>
      </c>
      <c r="E16" s="9" t="n">
        <v>235</v>
      </c>
      <c r="F16" s="9" t="n">
        <v>165</v>
      </c>
      <c r="G16" s="9" t="n">
        <v>115</v>
      </c>
      <c r="H16" s="9" t="n">
        <v>-1</v>
      </c>
      <c r="I16" s="9" t="n">
        <v>65</v>
      </c>
      <c r="J16" s="9" t="n">
        <v>105</v>
      </c>
      <c r="M16" s="30" t="n">
        <v>10112</v>
      </c>
      <c r="N16" s="30" t="s">
        <v>181</v>
      </c>
    </row>
    <row r="17" customFormat="false" ht="15" hidden="false" customHeight="false" outlineLevel="0" collapsed="false">
      <c r="A17" s="5" t="s">
        <v>182</v>
      </c>
      <c r="B17" s="9" t="n">
        <v>480</v>
      </c>
      <c r="C17" s="9" t="n">
        <v>390</v>
      </c>
      <c r="D17" s="9" t="n">
        <v>355</v>
      </c>
      <c r="E17" s="9" t="n">
        <v>300</v>
      </c>
      <c r="F17" s="9" t="n">
        <v>230</v>
      </c>
      <c r="G17" s="9" t="n">
        <v>180</v>
      </c>
      <c r="H17" s="9" t="n">
        <v>65</v>
      </c>
      <c r="I17" s="9" t="n">
        <v>-1</v>
      </c>
      <c r="J17" s="9" t="n">
        <v>40</v>
      </c>
      <c r="M17" s="30" t="n">
        <v>10114</v>
      </c>
      <c r="N17" s="30" t="s">
        <v>182</v>
      </c>
    </row>
    <row r="18" customFormat="false" ht="15" hidden="false" customHeight="false" outlineLevel="0" collapsed="false">
      <c r="A18" s="5" t="s">
        <v>183</v>
      </c>
      <c r="B18" s="9" t="n">
        <v>525</v>
      </c>
      <c r="C18" s="9" t="n">
        <v>430</v>
      </c>
      <c r="D18" s="9" t="n">
        <v>400</v>
      </c>
      <c r="E18" s="9" t="n">
        <v>340</v>
      </c>
      <c r="F18" s="9" t="n">
        <v>270</v>
      </c>
      <c r="G18" s="9" t="n">
        <v>220</v>
      </c>
      <c r="H18" s="9" t="n">
        <v>105</v>
      </c>
      <c r="I18" s="9" t="n">
        <v>40</v>
      </c>
      <c r="J18" s="9" t="n">
        <v>-1</v>
      </c>
      <c r="M18" s="39" t="n">
        <v>10116</v>
      </c>
      <c r="N18" s="39" t="s">
        <v>183</v>
      </c>
    </row>
    <row r="21" customFormat="false" ht="24" hidden="false" customHeight="false" outlineLevel="0" collapsed="false">
      <c r="A21" s="24" t="s">
        <v>185</v>
      </c>
    </row>
    <row r="22" customFormat="false" ht="13.8" hidden="false" customHeight="false" outlineLevel="0" collapsed="false">
      <c r="A22" s="41" t="s">
        <v>186</v>
      </c>
      <c r="B22" s="37" t="s">
        <v>187</v>
      </c>
      <c r="C22" s="47" t="s">
        <v>105</v>
      </c>
      <c r="D22" s="45" t="s">
        <v>188</v>
      </c>
      <c r="E22" s="45" t="s">
        <v>189</v>
      </c>
    </row>
    <row r="23" customFormat="false" ht="13.8" hidden="false" customHeight="false" outlineLevel="0" collapsed="false">
      <c r="A23" s="29" t="n">
        <v>10100</v>
      </c>
      <c r="B23" s="30" t="n">
        <v>10102</v>
      </c>
      <c r="C23" s="48" t="n">
        <f aca="false">INDEX($A$9:$J$18, MATCH(D23, $A$9:$A$18, 0), MATCH(E23,$A$9:$J$9, 0))</f>
        <v>95</v>
      </c>
      <c r="D23" s="45" t="str">
        <f aca="false">INDEX($N$10:$N$18, MATCH(A23, $M$10:$M$18, 0))</f>
        <v>A</v>
      </c>
      <c r="E23" s="45" t="str">
        <f aca="false">INDEX($N$10:$N$18, MATCH(B23, $M$10:$M$18, 0))</f>
        <v>B</v>
      </c>
      <c r="G23" s="49"/>
      <c r="H23" s="50"/>
    </row>
    <row r="24" customFormat="false" ht="13.8" hidden="false" customHeight="false" outlineLevel="0" collapsed="false">
      <c r="A24" s="29" t="n">
        <v>10100</v>
      </c>
      <c r="B24" s="30" t="n">
        <v>10104</v>
      </c>
      <c r="C24" s="48" t="n">
        <f aca="false">INDEX($A$9:$J$18, MATCH(D24, $A$9:$A$18, 0), MATCH(E24,$A$9:$J$9, 0))</f>
        <v>-1</v>
      </c>
      <c r="D24" s="45" t="str">
        <f aca="false">INDEX($N$10:$N$18, MATCH(A24, $M$10:$M$18, 0))</f>
        <v>A</v>
      </c>
      <c r="E24" s="45" t="str">
        <f aca="false">INDEX($N$10:$N$18, MATCH(B24, $M$10:$M$18, 0))</f>
        <v>C</v>
      </c>
      <c r="G24" s="49"/>
      <c r="H24" s="50"/>
    </row>
    <row r="25" customFormat="false" ht="13.8" hidden="false" customHeight="false" outlineLevel="0" collapsed="false">
      <c r="A25" s="29" t="n">
        <v>10108</v>
      </c>
      <c r="B25" s="30" t="n">
        <v>10102</v>
      </c>
      <c r="C25" s="48" t="n">
        <f aca="false">INDEX($A$9:$J$18, MATCH(D25, $A$9:$A$18, 0), MATCH(E25,$A$9:$J$9, 0))</f>
        <v>160</v>
      </c>
      <c r="D25" s="45" t="str">
        <f aca="false">INDEX($N$10:$N$18, MATCH(A25, $M$10:$M$18, 0))</f>
        <v>E</v>
      </c>
      <c r="E25" s="45" t="str">
        <f aca="false">INDEX($N$10:$N$18, MATCH(B25, $M$10:$M$18, 0))</f>
        <v>B</v>
      </c>
      <c r="G25" s="49"/>
      <c r="H25" s="50"/>
    </row>
    <row r="26" customFormat="false" ht="13.8" hidden="false" customHeight="false" outlineLevel="0" collapsed="false">
      <c r="A26" s="29" t="n">
        <v>10100</v>
      </c>
      <c r="B26" s="30" t="n">
        <v>10106</v>
      </c>
      <c r="C26" s="48" t="n">
        <f aca="false">INDEX($A$9:$J$18, MATCH(D26, $A$9:$A$18, 0), MATCH(E26,$A$9:$J$9, 0))</f>
        <v>185</v>
      </c>
      <c r="D26" s="45" t="str">
        <f aca="false">INDEX($N$10:$N$18, MATCH(A26, $M$10:$M$18, 0))</f>
        <v>A</v>
      </c>
      <c r="E26" s="45" t="str">
        <f aca="false">INDEX($N$10:$N$18, MATCH(B26, $M$10:$M$18, 0))</f>
        <v>D</v>
      </c>
      <c r="G26" s="49"/>
      <c r="H26" s="50"/>
    </row>
    <row r="27" customFormat="false" ht="13.8" hidden="false" customHeight="false" outlineLevel="0" collapsed="false">
      <c r="A27" s="29" t="n">
        <v>10108</v>
      </c>
      <c r="B27" s="30" t="n">
        <v>10110</v>
      </c>
      <c r="C27" s="48" t="n">
        <f aca="false">INDEX($A$9:$J$18, MATCH(D27, $A$9:$A$18, 0), MATCH(E27,$A$9:$J$9, 0))</f>
        <v>50</v>
      </c>
      <c r="D27" s="45" t="str">
        <f aca="false">INDEX($N$10:$N$18, MATCH(A27, $M$10:$M$18, 0))</f>
        <v>E</v>
      </c>
      <c r="E27" s="45" t="str">
        <f aca="false">INDEX($N$10:$N$18, MATCH(B27, $M$10:$M$18, 0))</f>
        <v>F</v>
      </c>
      <c r="G27" s="49"/>
      <c r="H27" s="50"/>
    </row>
    <row r="28" customFormat="false" ht="13.8" hidden="false" customHeight="false" outlineLevel="0" collapsed="false">
      <c r="A28" s="29" t="n">
        <v>10102</v>
      </c>
      <c r="B28" s="30" t="n">
        <v>10104</v>
      </c>
      <c r="C28" s="48" t="n">
        <f aca="false">INDEX($A$9:$J$18, MATCH(D28, $A$9:$A$18, 0), MATCH(E28,$A$9:$J$9, 0))</f>
        <v>-1</v>
      </c>
      <c r="D28" s="45" t="str">
        <f aca="false">INDEX($N$10:$N$18, MATCH(A28, $M$10:$M$18, 0))</f>
        <v>B</v>
      </c>
      <c r="E28" s="45" t="str">
        <f aca="false">INDEX($N$10:$N$18, MATCH(B28, $M$10:$M$18, 0))</f>
        <v>C</v>
      </c>
      <c r="G28" s="49"/>
      <c r="H28" s="50"/>
    </row>
    <row r="29" customFormat="false" ht="13.8" hidden="false" customHeight="false" outlineLevel="0" collapsed="false">
      <c r="A29" s="29" t="n">
        <v>10106</v>
      </c>
      <c r="B29" s="30" t="n">
        <v>10108</v>
      </c>
      <c r="C29" s="48" t="n">
        <f aca="false">INDEX($A$9:$J$18, MATCH(D29, $A$9:$A$18, 0), MATCH(E29,$A$9:$J$9, 0))</f>
        <v>70</v>
      </c>
      <c r="D29" s="45" t="str">
        <f aca="false">INDEX($N$10:$N$18, MATCH(A29, $M$10:$M$18, 0))</f>
        <v>D</v>
      </c>
      <c r="E29" s="45" t="str">
        <f aca="false">INDEX($N$10:$N$18, MATCH(B29, $M$10:$M$18, 0))</f>
        <v>E</v>
      </c>
      <c r="G29" s="49"/>
      <c r="H29" s="50"/>
    </row>
    <row r="30" customFormat="false" ht="13.8" hidden="false" customHeight="false" outlineLevel="0" collapsed="false">
      <c r="A30" s="29" t="n">
        <v>10102</v>
      </c>
      <c r="B30" s="30" t="n">
        <v>10106</v>
      </c>
      <c r="C30" s="48" t="n">
        <f aca="false">INDEX($A$9:$J$18, MATCH(D30, $A$9:$A$18, 0), MATCH(E30,$A$9:$J$9, 0))</f>
        <v>90</v>
      </c>
      <c r="D30" s="45" t="str">
        <f aca="false">INDEX($N$10:$N$18, MATCH(A30, $M$10:$M$18, 0))</f>
        <v>B</v>
      </c>
      <c r="E30" s="45" t="str">
        <f aca="false">INDEX($N$10:$N$18, MATCH(B30, $M$10:$M$18, 0))</f>
        <v>D</v>
      </c>
      <c r="G30" s="49"/>
      <c r="H30" s="50"/>
    </row>
    <row r="31" customFormat="false" ht="13.8" hidden="false" customHeight="false" outlineLevel="0" collapsed="false">
      <c r="A31" s="29" t="n">
        <v>10110</v>
      </c>
      <c r="B31" s="30" t="n">
        <v>10114</v>
      </c>
      <c r="C31" s="48" t="n">
        <f aca="false">INDEX($A$9:$J$18, MATCH(D31, $A$9:$A$18, 0), MATCH(E31,$A$9:$J$9, 0))</f>
        <v>180</v>
      </c>
      <c r="D31" s="45" t="str">
        <f aca="false">INDEX($N$10:$N$18, MATCH(A31, $M$10:$M$18, 0))</f>
        <v>F</v>
      </c>
      <c r="E31" s="45" t="str">
        <f aca="false">INDEX($N$10:$N$18, MATCH(B31, $M$10:$M$18, 0))</f>
        <v>H</v>
      </c>
      <c r="G31" s="49"/>
      <c r="H31" s="50"/>
    </row>
    <row r="32" customFormat="false" ht="13.8" hidden="false" customHeight="false" outlineLevel="0" collapsed="false">
      <c r="A32" s="29" t="n">
        <v>10104</v>
      </c>
      <c r="B32" s="30" t="n">
        <v>10106</v>
      </c>
      <c r="C32" s="48" t="n">
        <f aca="false">INDEX($A$9:$J$18, MATCH(D32, $A$9:$A$18, 0), MATCH(E32,$A$9:$J$9, 0))</f>
        <v>60</v>
      </c>
      <c r="D32" s="45" t="str">
        <f aca="false">INDEX($N$10:$N$18, MATCH(A32, $M$10:$M$18, 0))</f>
        <v>C</v>
      </c>
      <c r="E32" s="45" t="str">
        <f aca="false">INDEX($N$10:$N$18, MATCH(B32, $M$10:$M$18, 0))</f>
        <v>D</v>
      </c>
      <c r="G32" s="49"/>
      <c r="H32" s="50"/>
    </row>
    <row r="33" customFormat="false" ht="13.8" hidden="false" customHeight="false" outlineLevel="0" collapsed="false">
      <c r="A33" s="29" t="n">
        <v>10110</v>
      </c>
      <c r="B33" s="30" t="n">
        <v>10112</v>
      </c>
      <c r="C33" s="48" t="n">
        <f aca="false">INDEX($A$9:$J$18, MATCH(D33, $A$9:$A$18, 0), MATCH(E33,$A$9:$J$9, 0))</f>
        <v>115</v>
      </c>
      <c r="D33" s="45" t="str">
        <f aca="false">INDEX($N$10:$N$18, MATCH(A33, $M$10:$M$18, 0))</f>
        <v>F</v>
      </c>
      <c r="E33" s="45" t="str">
        <f aca="false">INDEX($N$10:$N$18, MATCH(B33, $M$10:$M$18, 0))</f>
        <v>G</v>
      </c>
      <c r="G33" s="49"/>
      <c r="H33" s="50"/>
    </row>
    <row r="34" customFormat="false" ht="13.8" hidden="false" customHeight="false" outlineLevel="0" collapsed="false">
      <c r="A34" s="29" t="n">
        <v>10100</v>
      </c>
      <c r="B34" s="30" t="n">
        <v>10114</v>
      </c>
      <c r="C34" s="48" t="n">
        <f aca="false">INDEX($A$9:$J$18, MATCH(D34, $A$9:$A$18, 0), MATCH(E34,$A$9:$J$9, 0))</f>
        <v>480</v>
      </c>
      <c r="D34" s="45" t="str">
        <f aca="false">INDEX($N$10:$N$18, MATCH(A34, $M$10:$M$18, 0))</f>
        <v>A</v>
      </c>
      <c r="E34" s="45" t="str">
        <f aca="false">INDEX($N$10:$N$18, MATCH(B34, $M$10:$M$18, 0))</f>
        <v>H</v>
      </c>
      <c r="G34" s="49"/>
      <c r="H34" s="50"/>
    </row>
    <row r="35" customFormat="false" ht="13.8" hidden="false" customHeight="false" outlineLevel="0" collapsed="false">
      <c r="A35" s="38" t="n">
        <v>10112</v>
      </c>
      <c r="B35" s="39" t="n">
        <v>10116</v>
      </c>
      <c r="C35" s="48" t="n">
        <f aca="false">INDEX($A$9:$J$18, MATCH(D35, $A$9:$A$18, 0), MATCH(E35,$A$9:$J$9, 0))</f>
        <v>105</v>
      </c>
      <c r="D35" s="45" t="str">
        <f aca="false">INDEX($N$10:$N$18, MATCH(A35, $M$10:$M$18, 0))</f>
        <v>G</v>
      </c>
      <c r="E35" s="45" t="str">
        <f aca="false">INDEX($N$10:$N$18, MATCH(B35, $M$10:$M$18, 0))</f>
        <v>I</v>
      </c>
      <c r="G35" s="49"/>
      <c r="H35" s="50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76</TotalTime>
  <Application>LibreOffice/7.3.3.2$MacOSX_X86_64 LibreOffice_project/d1d0ea68f081ee2800a922cac8f79445e4603348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2015-02-10T17:33:11Z</dcterms:created>
  <dc:creator>sangram</dc:creator>
  <dc:description/>
  <dc:language>en-GB</dc:language>
  <cp:lastModifiedBy/>
  <dcterms:modified xsi:type="dcterms:W3CDTF">2023-12-10T17:57:49Z</dcterms:modified>
  <cp:revision>17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